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Easan\Documents\"/>
    </mc:Choice>
  </mc:AlternateContent>
  <bookViews>
    <workbookView xWindow="0" yWindow="0" windowWidth="26520" windowHeight="12345" activeTab="2"/>
  </bookViews>
  <sheets>
    <sheet name="Projection-H" sheetId="1" r:id="rId1"/>
    <sheet name="Projection-P" sheetId="2" r:id="rId2"/>
    <sheet name="Filtered-H" sheetId="3" r:id="rId3"/>
  </sheets>
  <externalReferences>
    <externalReference r:id="rId4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K8" i="2" l="1"/>
  <c r="GJ2" i="1" l="1"/>
  <c r="GC2" i="1"/>
  <c r="GB2" i="1"/>
  <c r="GA2" i="1"/>
  <c r="FZ2" i="1"/>
  <c r="FY2" i="1"/>
  <c r="FX2" i="1"/>
  <c r="FW2" i="1"/>
  <c r="FV2" i="1"/>
  <c r="FT2" i="1"/>
  <c r="FS2" i="1"/>
  <c r="FR2" i="1"/>
  <c r="FQ2" i="1"/>
  <c r="FP2" i="1"/>
  <c r="FO2" i="1"/>
  <c r="FN2" i="1"/>
  <c r="FM2" i="1"/>
  <c r="FL2" i="1"/>
  <c r="FK2" i="1"/>
  <c r="FJ2" i="1"/>
  <c r="FI2" i="1"/>
  <c r="FH2" i="1"/>
  <c r="FG2" i="1"/>
  <c r="FF2" i="1"/>
  <c r="FE2" i="1"/>
  <c r="FD2" i="1"/>
  <c r="FC2" i="1"/>
  <c r="FB2" i="1"/>
  <c r="FA2" i="1"/>
  <c r="EZ2" i="1"/>
  <c r="ED2" i="1"/>
  <c r="EC2" i="1"/>
  <c r="EB2" i="1"/>
  <c r="EA2" i="1"/>
  <c r="DZ2" i="1"/>
  <c r="DY2" i="1"/>
  <c r="DX2" i="1"/>
  <c r="DW2" i="1"/>
  <c r="DV2" i="1"/>
  <c r="DU2" i="1"/>
  <c r="DT2" i="1"/>
  <c r="DS2" i="1"/>
  <c r="DR2" i="1"/>
  <c r="EF2" i="1" l="1"/>
  <c r="GD2" i="1"/>
  <c r="EG2" i="1"/>
  <c r="EE2" i="1"/>
  <c r="FU2" i="1"/>
  <c r="GF2" i="1" s="1"/>
  <c r="GE2" i="1"/>
  <c r="EH2" i="1" l="1"/>
  <c r="GG2" i="1"/>
</calcChain>
</file>

<file path=xl/sharedStrings.xml><?xml version="1.0" encoding="utf-8"?>
<sst xmlns="http://schemas.openxmlformats.org/spreadsheetml/2006/main" count="443" uniqueCount="295">
  <si>
    <t>Daniel Murphy</t>
  </si>
  <si>
    <t>murphda08</t>
  </si>
  <si>
    <t>PLAYERNAME</t>
  </si>
  <si>
    <t>PlayerID</t>
  </si>
  <si>
    <t>CAIRO.PA</t>
  </si>
  <si>
    <t>CAIRO.AB</t>
  </si>
  <si>
    <t>CAIRO.R</t>
  </si>
  <si>
    <t>CAIRO.H</t>
  </si>
  <si>
    <t>CAIRO.1B</t>
  </si>
  <si>
    <t>CAIRO.2B</t>
  </si>
  <si>
    <t>CAIRO.3B</t>
  </si>
  <si>
    <t>CAIRO.HR</t>
  </si>
  <si>
    <t>CAIRO.RBI</t>
  </si>
  <si>
    <t>CAIRO.SB</t>
  </si>
  <si>
    <t>CAIRO.CS</t>
  </si>
  <si>
    <t>CAIRO.BB</t>
  </si>
  <si>
    <t>CAIRO.SO</t>
  </si>
  <si>
    <t>CAIRO.avg</t>
  </si>
  <si>
    <t>CAIRO.obp</t>
  </si>
  <si>
    <t>CAIRO.slg</t>
  </si>
  <si>
    <t>CAIRO.ops</t>
  </si>
  <si>
    <t>Steamer.PA</t>
  </si>
  <si>
    <t>Steamer.AB</t>
  </si>
  <si>
    <t>Steamer.R</t>
  </si>
  <si>
    <t>Steamer.H</t>
  </si>
  <si>
    <t>Steamer.1B</t>
  </si>
  <si>
    <t>Steamer.2B</t>
  </si>
  <si>
    <t>Steamer.3B</t>
  </si>
  <si>
    <t>Steamer.HR</t>
  </si>
  <si>
    <t>Steamer.RBI</t>
  </si>
  <si>
    <t>Steamer.SB</t>
  </si>
  <si>
    <t>Steamer.CS</t>
  </si>
  <si>
    <t>Steamer.BB</t>
  </si>
  <si>
    <t>Steamer.SO</t>
  </si>
  <si>
    <t>Steamer.avg</t>
  </si>
  <si>
    <t>Steamer.obp</t>
  </si>
  <si>
    <t>Steamer.slg</t>
  </si>
  <si>
    <t>Steamer.ops</t>
  </si>
  <si>
    <t>Fans.PA</t>
  </si>
  <si>
    <t>Fans.AB</t>
  </si>
  <si>
    <t>Fans.R</t>
  </si>
  <si>
    <t>Fans.H</t>
  </si>
  <si>
    <t>Fans.1B</t>
  </si>
  <si>
    <t>Fans.2B</t>
  </si>
  <si>
    <t>Fans.3B</t>
  </si>
  <si>
    <t>Fans.HR</t>
  </si>
  <si>
    <t>Fans.RBI</t>
  </si>
  <si>
    <t>Fans.SB</t>
  </si>
  <si>
    <t>Fans.CS</t>
  </si>
  <si>
    <t>Fans.BB</t>
  </si>
  <si>
    <t>Fans.SO</t>
  </si>
  <si>
    <t>Fans.avg</t>
  </si>
  <si>
    <t>Fans.obp</t>
  </si>
  <si>
    <t>Fans.slg</t>
  </si>
  <si>
    <t>Fans.ops</t>
  </si>
  <si>
    <t>ZiPS.PA</t>
  </si>
  <si>
    <t>ZiPS.AB</t>
  </si>
  <si>
    <t>ZiPS.R</t>
  </si>
  <si>
    <t>ZiPS.H</t>
  </si>
  <si>
    <t>ZiPS.1B</t>
  </si>
  <si>
    <t>ZiPS.2B</t>
  </si>
  <si>
    <t>ZiPS.3B</t>
  </si>
  <si>
    <t>ZiPS.HR</t>
  </si>
  <si>
    <t>ZiPS.RBI</t>
  </si>
  <si>
    <t>ZiPS.SB</t>
  </si>
  <si>
    <t>ZiPS.CS</t>
  </si>
  <si>
    <t>ZiPS.BB</t>
  </si>
  <si>
    <t>ZiPS.SO</t>
  </si>
  <si>
    <t>ZiPS.avg</t>
  </si>
  <si>
    <t>ZiPS.obp</t>
  </si>
  <si>
    <t>ZiPS.slg</t>
  </si>
  <si>
    <t>ZiPS.ops</t>
  </si>
  <si>
    <t>DepthCharts.PA</t>
  </si>
  <si>
    <t>DepthCharts.AB</t>
  </si>
  <si>
    <t>DepthCharts.R</t>
  </si>
  <si>
    <t>DepthCharts.H</t>
  </si>
  <si>
    <t>DepthCharts.1B</t>
  </si>
  <si>
    <t>DepthCharts.2B</t>
  </si>
  <si>
    <t>DepthCharts.3B</t>
  </si>
  <si>
    <t>DepthCharts.HR</t>
  </si>
  <si>
    <t>DepthCharts.RBI</t>
  </si>
  <si>
    <t>DepthCharts.SB</t>
  </si>
  <si>
    <t>DepthCharts.CS</t>
  </si>
  <si>
    <t>DepthCharts.BB</t>
  </si>
  <si>
    <t>DepthCharts.SO</t>
  </si>
  <si>
    <t>DepthCharts.avg</t>
  </si>
  <si>
    <t>DepthCharts.obp</t>
  </si>
  <si>
    <t>DepthCharts.slg</t>
  </si>
  <si>
    <t>DepthCharts.ops</t>
  </si>
  <si>
    <t>Clay.PA</t>
  </si>
  <si>
    <t>Clay.AB</t>
  </si>
  <si>
    <t>Clay.R</t>
  </si>
  <si>
    <t>Clay.H</t>
  </si>
  <si>
    <t>Clay.1B</t>
  </si>
  <si>
    <t>Clay.2B</t>
  </si>
  <si>
    <t>Clay.3B</t>
  </si>
  <si>
    <t>Clay.HR</t>
  </si>
  <si>
    <t>Clay.RBI</t>
  </si>
  <si>
    <t>Clay.SB</t>
  </si>
  <si>
    <t>Clay.CS</t>
  </si>
  <si>
    <t>Clay.BB</t>
  </si>
  <si>
    <t>Clay.SO</t>
  </si>
  <si>
    <t>Clay.avg</t>
  </si>
  <si>
    <t>Clay.obp</t>
  </si>
  <si>
    <t>Clay.slg</t>
  </si>
  <si>
    <t>Clay.ops</t>
  </si>
  <si>
    <t>Steamer600.PA</t>
  </si>
  <si>
    <t>Steamer600.AB</t>
  </si>
  <si>
    <t>Steamer600.R</t>
  </si>
  <si>
    <t>Steamer600.H</t>
  </si>
  <si>
    <t>Steamer600.1B</t>
  </si>
  <si>
    <t>Steamer600.2B</t>
  </si>
  <si>
    <t>Steamer600.3B</t>
  </si>
  <si>
    <t>Steamer600.HR</t>
  </si>
  <si>
    <t>Steamer600.RBI</t>
  </si>
  <si>
    <t>Steamer600.SB</t>
  </si>
  <si>
    <t>Steamer600.CS</t>
  </si>
  <si>
    <t>Steamer600.BB</t>
  </si>
  <si>
    <t>Steamer600.SO</t>
  </si>
  <si>
    <t>Steamer600.avg</t>
  </si>
  <si>
    <t>Steamer600.obp</t>
  </si>
  <si>
    <t>Steamer600.slg</t>
  </si>
  <si>
    <t>Steamer600.ops</t>
  </si>
  <si>
    <t>PA</t>
  </si>
  <si>
    <t>AB</t>
  </si>
  <si>
    <t>R</t>
  </si>
  <si>
    <t>H</t>
  </si>
  <si>
    <t>1B</t>
  </si>
  <si>
    <t>2B</t>
  </si>
  <si>
    <t>3B</t>
  </si>
  <si>
    <t>HR</t>
  </si>
  <si>
    <t>RBI</t>
  </si>
  <si>
    <t>SB</t>
  </si>
  <si>
    <t>CS</t>
  </si>
  <si>
    <t>BB</t>
  </si>
  <si>
    <t>SO</t>
  </si>
  <si>
    <t>avg</t>
  </si>
  <si>
    <t>obp</t>
  </si>
  <si>
    <t>slg</t>
  </si>
  <si>
    <t>ops</t>
  </si>
  <si>
    <t>SpecialBlend.PA</t>
  </si>
  <si>
    <t>SpecialBlend.AB</t>
  </si>
  <si>
    <t>SpecialBlend.R</t>
  </si>
  <si>
    <t>SpecialBlend.H</t>
  </si>
  <si>
    <t>SpecialBlend.1B</t>
  </si>
  <si>
    <t>SpecialBlend.2B</t>
  </si>
  <si>
    <t>SpecialBlend.3B</t>
  </si>
  <si>
    <t>SpecialBlend.HR</t>
  </si>
  <si>
    <t>SpecialBlend.RBI</t>
  </si>
  <si>
    <t>SpecialBlend.SB</t>
  </si>
  <si>
    <t>SpecialBlend.CS</t>
  </si>
  <si>
    <t>SpecialBlend.BB</t>
  </si>
  <si>
    <t>SpecialBlend.SO</t>
  </si>
  <si>
    <t>SpecialBlend.avg</t>
  </si>
  <si>
    <t>SpecialBlend.obp</t>
  </si>
  <si>
    <t>SpecialBlend.slg</t>
  </si>
  <si>
    <t>SpecialBlend.ops</t>
  </si>
  <si>
    <t>Errors per PA</t>
  </si>
  <si>
    <t>GIDP per PA</t>
  </si>
  <si>
    <t>HBP</t>
  </si>
  <si>
    <t>HBP per PA</t>
  </si>
  <si>
    <t>Sam Dyson</t>
  </si>
  <si>
    <t>dysonsa01</t>
  </si>
  <si>
    <t>CAIRO.W</t>
  </si>
  <si>
    <t>CAIRO.L</t>
  </si>
  <si>
    <t>CAIRO.IP</t>
  </si>
  <si>
    <t>CAIRO.K</t>
  </si>
  <si>
    <t>CAIRO.ER</t>
  </si>
  <si>
    <t>CAIRO.S</t>
  </si>
  <si>
    <t>CAIRO.ERA</t>
  </si>
  <si>
    <t>CAIRO.WHIP</t>
  </si>
  <si>
    <t>CAIRO.K/9</t>
  </si>
  <si>
    <t>CAIRO.xQS</t>
  </si>
  <si>
    <t>CAIRO.GS</t>
  </si>
  <si>
    <t>CAIRO.G</t>
  </si>
  <si>
    <t>CAIRO.HRA</t>
  </si>
  <si>
    <t>Steamer.W</t>
  </si>
  <si>
    <t>Steamer.L</t>
  </si>
  <si>
    <t>Steamer.IP</t>
  </si>
  <si>
    <t>Steamer.K</t>
  </si>
  <si>
    <t>Steamer.ER</t>
  </si>
  <si>
    <t>Steamer.S</t>
  </si>
  <si>
    <t>Steamer.ERA</t>
  </si>
  <si>
    <t>Steamer.WHIP</t>
  </si>
  <si>
    <t>Steamer.K/9</t>
  </si>
  <si>
    <t>Steamer.xQS</t>
  </si>
  <si>
    <t>Steamer.GS</t>
  </si>
  <si>
    <t>Steamer.G</t>
  </si>
  <si>
    <t>Steamer.HRA</t>
  </si>
  <si>
    <t>Fans.W</t>
  </si>
  <si>
    <t>Fans.L</t>
  </si>
  <si>
    <t>Fans.IP</t>
  </si>
  <si>
    <t>Fans.K</t>
  </si>
  <si>
    <t>Fans.ER</t>
  </si>
  <si>
    <t>Fans.S</t>
  </si>
  <si>
    <t>Fans.ERA</t>
  </si>
  <si>
    <t>Fans.WHIP</t>
  </si>
  <si>
    <t>Fans.K/9</t>
  </si>
  <si>
    <t>Fans.xQS</t>
  </si>
  <si>
    <t>Fans.GS</t>
  </si>
  <si>
    <t>Fans.G</t>
  </si>
  <si>
    <t>Fans.HRA</t>
  </si>
  <si>
    <t>ZiPS.W</t>
  </si>
  <si>
    <t>ZiPS.L</t>
  </si>
  <si>
    <t>ZiPS.IP</t>
  </si>
  <si>
    <t>ZiPS.K</t>
  </si>
  <si>
    <t>ZiPS.ER</t>
  </si>
  <si>
    <t>ZiPS.S</t>
  </si>
  <si>
    <t>ZiPS.ERA</t>
  </si>
  <si>
    <t>ZiPS.WHIP</t>
  </si>
  <si>
    <t>ZiPS.K/9</t>
  </si>
  <si>
    <t>ZiPS.xQS</t>
  </si>
  <si>
    <t>ZiPS.GS</t>
  </si>
  <si>
    <t>ZiPS.G</t>
  </si>
  <si>
    <t>ZiPS.HRA</t>
  </si>
  <si>
    <t>DepthCharts.W</t>
  </si>
  <si>
    <t>DepthCharts.L</t>
  </si>
  <si>
    <t>DepthCharts.IP</t>
  </si>
  <si>
    <t>DepthCharts.K</t>
  </si>
  <si>
    <t>DepthCharts.ER</t>
  </si>
  <si>
    <t>DepthCharts.S</t>
  </si>
  <si>
    <t>DepthCharts.ERA</t>
  </si>
  <si>
    <t>DepthCharts.WHIP</t>
  </si>
  <si>
    <t>DepthCharts.K/9</t>
  </si>
  <si>
    <t>DepthCharts.xQS</t>
  </si>
  <si>
    <t>DepthCharts.GS</t>
  </si>
  <si>
    <t>DepthCharts.G</t>
  </si>
  <si>
    <t>DepthCharts.HRA</t>
  </si>
  <si>
    <t>Clay.W</t>
  </si>
  <si>
    <t>Clay.L</t>
  </si>
  <si>
    <t>Clay.IP</t>
  </si>
  <si>
    <t>Clay.K</t>
  </si>
  <si>
    <t>Clay.ER</t>
  </si>
  <si>
    <t>Clay.S</t>
  </si>
  <si>
    <t>Clay.ERA</t>
  </si>
  <si>
    <t>Clay.WHIP</t>
  </si>
  <si>
    <t>Clay.K/9</t>
  </si>
  <si>
    <t>Clay.QS</t>
  </si>
  <si>
    <t>Clay.GS</t>
  </si>
  <si>
    <t>Clay.G</t>
  </si>
  <si>
    <t>Clay.HRA</t>
  </si>
  <si>
    <t>Steamer600.W</t>
  </si>
  <si>
    <t>Steamer600.L</t>
  </si>
  <si>
    <t>Steamer600.IP</t>
  </si>
  <si>
    <t>Steamer600.K</t>
  </si>
  <si>
    <t>Steamer600.ER</t>
  </si>
  <si>
    <t>Steamer600.S</t>
  </si>
  <si>
    <t>Steamer600.ERA</t>
  </si>
  <si>
    <t>Steamer600.WHIP</t>
  </si>
  <si>
    <t>Steamer600.K/9</t>
  </si>
  <si>
    <t>Steamer600.xQS</t>
  </si>
  <si>
    <t>Steamer600.GS</t>
  </si>
  <si>
    <t>Steamer600.G</t>
  </si>
  <si>
    <t>Steamer600.HRA</t>
  </si>
  <si>
    <t>W</t>
  </si>
  <si>
    <t>L</t>
  </si>
  <si>
    <t>IP</t>
  </si>
  <si>
    <t>K</t>
  </si>
  <si>
    <t>ER</t>
  </si>
  <si>
    <t>S</t>
  </si>
  <si>
    <t>ERA</t>
  </si>
  <si>
    <t>WHIP</t>
  </si>
  <si>
    <t>K/9</t>
  </si>
  <si>
    <t>xQS</t>
  </si>
  <si>
    <t>GS</t>
  </si>
  <si>
    <t>G</t>
  </si>
  <si>
    <t>HRA</t>
  </si>
  <si>
    <t>SpecialBlend.W</t>
  </si>
  <si>
    <t>SpecialBlend.L</t>
  </si>
  <si>
    <t>SpecialBlend.IP</t>
  </si>
  <si>
    <t>SpecialBlend.K</t>
  </si>
  <si>
    <t>SpecialBlend.ER</t>
  </si>
  <si>
    <t>SpecialBlend.S</t>
  </si>
  <si>
    <t>SpecialBlend.ERA</t>
  </si>
  <si>
    <t>SpecialBlend.WHIP</t>
  </si>
  <si>
    <t>SpecialBlend.K/9</t>
  </si>
  <si>
    <t>SpecialBlend.xQS</t>
  </si>
  <si>
    <t>SpecialBlend.GS</t>
  </si>
  <si>
    <t>SpecialBlend.G</t>
  </si>
  <si>
    <t>SpecialBlend.HRA</t>
  </si>
  <si>
    <t>CG</t>
  </si>
  <si>
    <t>HLD</t>
  </si>
  <si>
    <t>BAA</t>
  </si>
  <si>
    <t>CG/GS</t>
  </si>
  <si>
    <t>Shutout/GS</t>
  </si>
  <si>
    <t>Game Finished per G</t>
  </si>
  <si>
    <t>Blown Sv</t>
  </si>
  <si>
    <t>Hold</t>
  </si>
  <si>
    <t>Luis Severino</t>
  </si>
  <si>
    <t>severlu01</t>
  </si>
  <si>
    <t/>
  </si>
  <si>
    <t>RP</t>
  </si>
  <si>
    <t>No</t>
  </si>
  <si>
    <t>Yes</t>
  </si>
  <si>
    <t>SP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</si>
</sst>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2017%20Points%20Draft%20Cheatsheet%20v2.55test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DP-Rank"/>
      <sheetName val="Guts-1"/>
      <sheetName val="Guts-2"/>
      <sheetName val="Projection-P"/>
      <sheetName val="Projection-H"/>
      <sheetName val="Filtered-P"/>
      <sheetName val="Filtered-H"/>
      <sheetName val="Starter Calc"/>
      <sheetName val="Name-Sort"/>
      <sheetName val="Instructions"/>
      <sheetName val="Settings"/>
      <sheetName val="Keepers"/>
      <sheetName val="Player Notes"/>
      <sheetName val="Your Points Draft"/>
      <sheetName val="Draft Log"/>
      <sheetName val="Positions"/>
      <sheetName val="Players"/>
      <sheetName val="Standings-Rank"/>
      <sheetName val="Projected Standings"/>
      <sheetName val="Rosters"/>
      <sheetName val="Teams"/>
      <sheetName val="Credits"/>
      <sheetName val="Save and Load"/>
      <sheetName val="Import (ADP)"/>
      <sheetName val="Import (Projections)"/>
    </sheetNames>
    <sheetDataSet>
      <sheetData sheetId="0"/>
      <sheetData sheetId="1"/>
      <sheetData sheetId="2">
        <row r="1">
          <cell r="H1">
            <v>20</v>
          </cell>
        </row>
        <row r="2">
          <cell r="H2">
            <v>10</v>
          </cell>
        </row>
        <row r="3">
          <cell r="H3">
            <v>0</v>
          </cell>
        </row>
        <row r="4">
          <cell r="H4">
            <v>20</v>
          </cell>
        </row>
        <row r="7">
          <cell r="H7">
            <v>30</v>
          </cell>
        </row>
        <row r="8">
          <cell r="H8">
            <v>0</v>
          </cell>
        </row>
        <row r="9">
          <cell r="H9">
            <v>20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>
        <row r="2">
          <cell r="B2" t="str">
            <v>Jose Altuve</v>
          </cell>
          <cell r="C2">
            <v>690</v>
          </cell>
          <cell r="D2">
            <v>630</v>
          </cell>
          <cell r="E2">
            <v>92</v>
          </cell>
          <cell r="F2">
            <v>202</v>
          </cell>
          <cell r="G2">
            <v>40</v>
          </cell>
          <cell r="H2">
            <v>4</v>
          </cell>
          <cell r="I2">
            <v>17</v>
          </cell>
          <cell r="J2">
            <v>91</v>
          </cell>
          <cell r="K2">
            <v>35</v>
          </cell>
          <cell r="L2">
            <v>10</v>
          </cell>
          <cell r="M2">
            <v>45</v>
          </cell>
          <cell r="N2">
            <v>73</v>
          </cell>
        </row>
        <row r="3">
          <cell r="B3" t="str">
            <v>Josh Donaldson</v>
          </cell>
          <cell r="C3">
            <v>688</v>
          </cell>
          <cell r="D3">
            <v>591</v>
          </cell>
          <cell r="E3">
            <v>110</v>
          </cell>
          <cell r="F3">
            <v>165</v>
          </cell>
          <cell r="G3">
            <v>34</v>
          </cell>
          <cell r="H3">
            <v>3</v>
          </cell>
          <cell r="I3">
            <v>35</v>
          </cell>
          <cell r="J3">
            <v>110</v>
          </cell>
          <cell r="K3">
            <v>7</v>
          </cell>
          <cell r="L3">
            <v>1</v>
          </cell>
          <cell r="M3">
            <v>84</v>
          </cell>
          <cell r="N3">
            <v>126</v>
          </cell>
        </row>
        <row r="4">
          <cell r="B4" t="str">
            <v>Brian Dozier</v>
          </cell>
          <cell r="C4">
            <v>685</v>
          </cell>
          <cell r="D4">
            <v>604</v>
          </cell>
          <cell r="E4">
            <v>100</v>
          </cell>
          <cell r="F4">
            <v>152</v>
          </cell>
          <cell r="G4">
            <v>35</v>
          </cell>
          <cell r="H4">
            <v>4</v>
          </cell>
          <cell r="I4">
            <v>31</v>
          </cell>
          <cell r="J4">
            <v>100</v>
          </cell>
          <cell r="K4">
            <v>15</v>
          </cell>
          <cell r="L4">
            <v>4</v>
          </cell>
          <cell r="M4">
            <v>65</v>
          </cell>
          <cell r="N4">
            <v>137</v>
          </cell>
        </row>
        <row r="5">
          <cell r="B5" t="str">
            <v>Mookie Betts</v>
          </cell>
          <cell r="C5">
            <v>680</v>
          </cell>
          <cell r="D5">
            <v>616</v>
          </cell>
          <cell r="E5">
            <v>108</v>
          </cell>
          <cell r="F5">
            <v>188</v>
          </cell>
          <cell r="G5">
            <v>41</v>
          </cell>
          <cell r="H5">
            <v>6</v>
          </cell>
          <cell r="I5">
            <v>23</v>
          </cell>
          <cell r="J5">
            <v>102</v>
          </cell>
          <cell r="K5">
            <v>24</v>
          </cell>
          <cell r="L5">
            <v>6</v>
          </cell>
          <cell r="M5">
            <v>54</v>
          </cell>
          <cell r="N5">
            <v>87</v>
          </cell>
        </row>
        <row r="6">
          <cell r="B6" t="str">
            <v>Nick Markakis</v>
          </cell>
          <cell r="C6">
            <v>678</v>
          </cell>
          <cell r="D6">
            <v>603</v>
          </cell>
          <cell r="E6">
            <v>72</v>
          </cell>
          <cell r="F6">
            <v>166</v>
          </cell>
          <cell r="G6">
            <v>34</v>
          </cell>
          <cell r="H6">
            <v>1</v>
          </cell>
          <cell r="I6">
            <v>10</v>
          </cell>
          <cell r="J6">
            <v>71</v>
          </cell>
          <cell r="K6">
            <v>3</v>
          </cell>
          <cell r="L6">
            <v>2</v>
          </cell>
          <cell r="M6">
            <v>67</v>
          </cell>
          <cell r="N6">
            <v>96</v>
          </cell>
        </row>
        <row r="7">
          <cell r="B7" t="str">
            <v>Ian Kinsler</v>
          </cell>
          <cell r="C7">
            <v>677</v>
          </cell>
          <cell r="D7">
            <v>623</v>
          </cell>
          <cell r="E7">
            <v>100</v>
          </cell>
          <cell r="F7">
            <v>177</v>
          </cell>
          <cell r="G7">
            <v>33</v>
          </cell>
          <cell r="H7">
            <v>5</v>
          </cell>
          <cell r="I7">
            <v>20</v>
          </cell>
          <cell r="J7">
            <v>100</v>
          </cell>
          <cell r="K7">
            <v>12</v>
          </cell>
          <cell r="L7">
            <v>5</v>
          </cell>
          <cell r="M7">
            <v>41</v>
          </cell>
          <cell r="N7">
            <v>99</v>
          </cell>
        </row>
        <row r="8">
          <cell r="B8" t="str">
            <v>Robinson Cano</v>
          </cell>
          <cell r="C8">
            <v>676</v>
          </cell>
          <cell r="D8">
            <v>617</v>
          </cell>
          <cell r="E8">
            <v>88</v>
          </cell>
          <cell r="F8">
            <v>181</v>
          </cell>
          <cell r="G8">
            <v>33</v>
          </cell>
          <cell r="H8">
            <v>2</v>
          </cell>
          <cell r="I8">
            <v>26</v>
          </cell>
          <cell r="J8">
            <v>88</v>
          </cell>
          <cell r="K8">
            <v>4</v>
          </cell>
          <cell r="L8">
            <v>3</v>
          </cell>
          <cell r="M8">
            <v>49</v>
          </cell>
          <cell r="N8">
            <v>99</v>
          </cell>
        </row>
        <row r="9">
          <cell r="B9" t="str">
            <v>Mike Trout</v>
          </cell>
          <cell r="C9">
            <v>675</v>
          </cell>
          <cell r="D9">
            <v>567</v>
          </cell>
          <cell r="E9">
            <v>108</v>
          </cell>
          <cell r="F9">
            <v>168</v>
          </cell>
          <cell r="G9">
            <v>33</v>
          </cell>
          <cell r="H9">
            <v>6</v>
          </cell>
          <cell r="I9">
            <v>33</v>
          </cell>
          <cell r="J9">
            <v>108</v>
          </cell>
          <cell r="K9">
            <v>18</v>
          </cell>
          <cell r="L9">
            <v>5</v>
          </cell>
          <cell r="M9">
            <v>92</v>
          </cell>
          <cell r="N9">
            <v>151</v>
          </cell>
        </row>
        <row r="10">
          <cell r="B10" t="str">
            <v>Evan Longoria</v>
          </cell>
          <cell r="C10">
            <v>672</v>
          </cell>
          <cell r="D10">
            <v>610</v>
          </cell>
          <cell r="E10">
            <v>78</v>
          </cell>
          <cell r="F10">
            <v>162</v>
          </cell>
          <cell r="G10">
            <v>34</v>
          </cell>
          <cell r="H10">
            <v>2</v>
          </cell>
          <cell r="I10">
            <v>26</v>
          </cell>
          <cell r="J10">
            <v>78</v>
          </cell>
          <cell r="K10">
            <v>3</v>
          </cell>
          <cell r="L10">
            <v>2</v>
          </cell>
          <cell r="M10">
            <v>49</v>
          </cell>
          <cell r="N10">
            <v>135</v>
          </cell>
        </row>
        <row r="11">
          <cell r="B11" t="str">
            <v>Carlos Santana</v>
          </cell>
          <cell r="C11">
            <v>663</v>
          </cell>
          <cell r="D11">
            <v>558</v>
          </cell>
          <cell r="E11">
            <v>77</v>
          </cell>
          <cell r="F11">
            <v>137</v>
          </cell>
          <cell r="G11">
            <v>29</v>
          </cell>
          <cell r="H11">
            <v>2</v>
          </cell>
          <cell r="I11">
            <v>26</v>
          </cell>
          <cell r="J11">
            <v>77</v>
          </cell>
          <cell r="K11">
            <v>7</v>
          </cell>
          <cell r="L11">
            <v>2</v>
          </cell>
          <cell r="M11">
            <v>97</v>
          </cell>
          <cell r="N11">
            <v>115</v>
          </cell>
        </row>
        <row r="12">
          <cell r="B12" t="str">
            <v>Kyle Seager</v>
          </cell>
          <cell r="C12">
            <v>663</v>
          </cell>
          <cell r="D12">
            <v>595</v>
          </cell>
          <cell r="E12">
            <v>81</v>
          </cell>
          <cell r="F12">
            <v>160</v>
          </cell>
          <cell r="G12">
            <v>33</v>
          </cell>
          <cell r="H12">
            <v>2</v>
          </cell>
          <cell r="I12">
            <v>26</v>
          </cell>
          <cell r="J12">
            <v>81</v>
          </cell>
          <cell r="K12">
            <v>5</v>
          </cell>
          <cell r="L12">
            <v>4</v>
          </cell>
          <cell r="M12">
            <v>58</v>
          </cell>
          <cell r="N12">
            <v>110</v>
          </cell>
        </row>
        <row r="13">
          <cell r="B13" t="str">
            <v>Andrew McCutchen</v>
          </cell>
          <cell r="C13">
            <v>661</v>
          </cell>
          <cell r="D13">
            <v>569</v>
          </cell>
          <cell r="E13">
            <v>84</v>
          </cell>
          <cell r="F13">
            <v>158</v>
          </cell>
          <cell r="G13">
            <v>32</v>
          </cell>
          <cell r="H13">
            <v>4</v>
          </cell>
          <cell r="I13">
            <v>23</v>
          </cell>
          <cell r="J13">
            <v>83</v>
          </cell>
          <cell r="K13">
            <v>10</v>
          </cell>
          <cell r="L13">
            <v>5</v>
          </cell>
          <cell r="M13">
            <v>78</v>
          </cell>
          <cell r="N13">
            <v>132</v>
          </cell>
        </row>
        <row r="14">
          <cell r="B14" t="str">
            <v>Anthony Rizzo</v>
          </cell>
          <cell r="C14">
            <v>659</v>
          </cell>
          <cell r="D14">
            <v>564</v>
          </cell>
          <cell r="E14">
            <v>89</v>
          </cell>
          <cell r="F14">
            <v>159</v>
          </cell>
          <cell r="G14">
            <v>36</v>
          </cell>
          <cell r="H14">
            <v>3</v>
          </cell>
          <cell r="I14">
            <v>30</v>
          </cell>
          <cell r="J14">
            <v>89</v>
          </cell>
          <cell r="K14">
            <v>8</v>
          </cell>
          <cell r="L14">
            <v>5</v>
          </cell>
          <cell r="M14">
            <v>71</v>
          </cell>
          <cell r="N14">
            <v>112</v>
          </cell>
        </row>
        <row r="15">
          <cell r="B15" t="str">
            <v>Todd Frazier</v>
          </cell>
          <cell r="C15">
            <v>659</v>
          </cell>
          <cell r="D15">
            <v>593</v>
          </cell>
          <cell r="E15">
            <v>82</v>
          </cell>
          <cell r="F15">
            <v>146</v>
          </cell>
          <cell r="G15">
            <v>28</v>
          </cell>
          <cell r="H15">
            <v>1</v>
          </cell>
          <cell r="I15">
            <v>33</v>
          </cell>
          <cell r="J15">
            <v>82</v>
          </cell>
          <cell r="K15">
            <v>14</v>
          </cell>
          <cell r="L15">
            <v>6</v>
          </cell>
          <cell r="M15">
            <v>53</v>
          </cell>
          <cell r="N15">
            <v>145</v>
          </cell>
        </row>
        <row r="16">
          <cell r="B16" t="str">
            <v>Jose Abreu</v>
          </cell>
          <cell r="C16">
            <v>658</v>
          </cell>
          <cell r="D16">
            <v>594</v>
          </cell>
          <cell r="E16">
            <v>76</v>
          </cell>
          <cell r="F16">
            <v>174</v>
          </cell>
          <cell r="G16">
            <v>32</v>
          </cell>
          <cell r="H16">
            <v>2</v>
          </cell>
          <cell r="I16">
            <v>28</v>
          </cell>
          <cell r="J16">
            <v>76</v>
          </cell>
          <cell r="K16">
            <v>2</v>
          </cell>
          <cell r="L16">
            <v>1</v>
          </cell>
          <cell r="M16">
            <v>46</v>
          </cell>
          <cell r="N16">
            <v>130</v>
          </cell>
        </row>
        <row r="17">
          <cell r="B17" t="str">
            <v>Xander Bogaerts</v>
          </cell>
          <cell r="C17">
            <v>657</v>
          </cell>
          <cell r="D17">
            <v>601</v>
          </cell>
          <cell r="E17">
            <v>88</v>
          </cell>
          <cell r="F17">
            <v>172</v>
          </cell>
          <cell r="G17">
            <v>32</v>
          </cell>
          <cell r="H17">
            <v>2</v>
          </cell>
          <cell r="I17">
            <v>15</v>
          </cell>
          <cell r="J17">
            <v>88</v>
          </cell>
          <cell r="K17">
            <v>9</v>
          </cell>
          <cell r="L17">
            <v>3</v>
          </cell>
          <cell r="M17">
            <v>45</v>
          </cell>
          <cell r="N17">
            <v>120</v>
          </cell>
        </row>
        <row r="18">
          <cell r="B18" t="str">
            <v>Nelson Cruz</v>
          </cell>
          <cell r="C18">
            <v>656</v>
          </cell>
          <cell r="D18">
            <v>588</v>
          </cell>
          <cell r="E18">
            <v>97</v>
          </cell>
          <cell r="F18">
            <v>176</v>
          </cell>
          <cell r="G18">
            <v>28</v>
          </cell>
          <cell r="H18">
            <v>2</v>
          </cell>
          <cell r="I18">
            <v>39</v>
          </cell>
          <cell r="J18">
            <v>97</v>
          </cell>
          <cell r="K18">
            <v>4</v>
          </cell>
          <cell r="L18">
            <v>2</v>
          </cell>
          <cell r="M18">
            <v>60</v>
          </cell>
          <cell r="N18">
            <v>151</v>
          </cell>
        </row>
        <row r="19">
          <cell r="B19" t="str">
            <v>Albert Pujols</v>
          </cell>
          <cell r="C19">
            <v>656</v>
          </cell>
          <cell r="D19">
            <v>597</v>
          </cell>
          <cell r="E19">
            <v>79</v>
          </cell>
          <cell r="F19">
            <v>156</v>
          </cell>
          <cell r="G19">
            <v>25</v>
          </cell>
          <cell r="H19">
            <v>1</v>
          </cell>
          <cell r="I19">
            <v>31</v>
          </cell>
          <cell r="J19">
            <v>79</v>
          </cell>
          <cell r="K19">
            <v>5</v>
          </cell>
          <cell r="L19">
            <v>1</v>
          </cell>
          <cell r="M19">
            <v>49</v>
          </cell>
          <cell r="N19">
            <v>80</v>
          </cell>
        </row>
        <row r="20">
          <cell r="B20" t="str">
            <v>Kris Bryant</v>
          </cell>
          <cell r="C20">
            <v>655</v>
          </cell>
          <cell r="D20">
            <v>568</v>
          </cell>
          <cell r="E20">
            <v>103</v>
          </cell>
          <cell r="F20">
            <v>161</v>
          </cell>
          <cell r="G20">
            <v>32</v>
          </cell>
          <cell r="H20">
            <v>3</v>
          </cell>
          <cell r="I20">
            <v>33</v>
          </cell>
          <cell r="J20">
            <v>101</v>
          </cell>
          <cell r="K20">
            <v>11</v>
          </cell>
          <cell r="L20">
            <v>4</v>
          </cell>
          <cell r="M20">
            <v>73</v>
          </cell>
          <cell r="N20">
            <v>165</v>
          </cell>
        </row>
        <row r="21">
          <cell r="B21" t="str">
            <v>Adam Eaton</v>
          </cell>
          <cell r="C21">
            <v>653</v>
          </cell>
          <cell r="D21">
            <v>579</v>
          </cell>
          <cell r="E21">
            <v>89</v>
          </cell>
          <cell r="F21">
            <v>167</v>
          </cell>
          <cell r="G21">
            <v>29</v>
          </cell>
          <cell r="H21">
            <v>7</v>
          </cell>
          <cell r="I21">
            <v>11</v>
          </cell>
          <cell r="J21">
            <v>89</v>
          </cell>
          <cell r="K21">
            <v>15</v>
          </cell>
          <cell r="L21">
            <v>7</v>
          </cell>
          <cell r="M21">
            <v>55</v>
          </cell>
          <cell r="N21">
            <v>116</v>
          </cell>
        </row>
        <row r="22">
          <cell r="B22" t="str">
            <v>Charlie Blackmon</v>
          </cell>
          <cell r="C22">
            <v>651</v>
          </cell>
          <cell r="D22">
            <v>588</v>
          </cell>
          <cell r="E22">
            <v>94</v>
          </cell>
          <cell r="F22">
            <v>174</v>
          </cell>
          <cell r="G22">
            <v>31</v>
          </cell>
          <cell r="H22">
            <v>6</v>
          </cell>
          <cell r="I22">
            <v>22</v>
          </cell>
          <cell r="J22">
            <v>93</v>
          </cell>
          <cell r="K22">
            <v>26</v>
          </cell>
          <cell r="L22">
            <v>10</v>
          </cell>
          <cell r="M22">
            <v>42</v>
          </cell>
          <cell r="N22">
            <v>108</v>
          </cell>
        </row>
        <row r="23">
          <cell r="B23" t="str">
            <v>Alcides Escobar</v>
          </cell>
          <cell r="C23">
            <v>651</v>
          </cell>
          <cell r="D23">
            <v>603</v>
          </cell>
          <cell r="E23">
            <v>66</v>
          </cell>
          <cell r="F23">
            <v>154</v>
          </cell>
          <cell r="G23">
            <v>23</v>
          </cell>
          <cell r="H23">
            <v>4</v>
          </cell>
          <cell r="I23">
            <v>7</v>
          </cell>
          <cell r="J23">
            <v>65</v>
          </cell>
          <cell r="K23">
            <v>19</v>
          </cell>
          <cell r="L23">
            <v>5</v>
          </cell>
          <cell r="M23">
            <v>29</v>
          </cell>
          <cell r="N23">
            <v>92</v>
          </cell>
        </row>
        <row r="24">
          <cell r="B24" t="str">
            <v>Ian Desmond</v>
          </cell>
          <cell r="C24">
            <v>650</v>
          </cell>
          <cell r="D24">
            <v>593</v>
          </cell>
          <cell r="E24">
            <v>96</v>
          </cell>
          <cell r="F24">
            <v>170</v>
          </cell>
          <cell r="G24">
            <v>31</v>
          </cell>
          <cell r="H24">
            <v>4</v>
          </cell>
          <cell r="I24">
            <v>23</v>
          </cell>
          <cell r="J24">
            <v>95</v>
          </cell>
          <cell r="K24">
            <v>18</v>
          </cell>
          <cell r="L24">
            <v>5</v>
          </cell>
          <cell r="M24">
            <v>46</v>
          </cell>
          <cell r="N24">
            <v>168</v>
          </cell>
        </row>
        <row r="25">
          <cell r="B25" t="str">
            <v>Francisco Lindor</v>
          </cell>
          <cell r="C25">
            <v>648</v>
          </cell>
          <cell r="D25">
            <v>579</v>
          </cell>
          <cell r="E25">
            <v>85</v>
          </cell>
          <cell r="F25">
            <v>168</v>
          </cell>
          <cell r="G25">
            <v>29</v>
          </cell>
          <cell r="H25">
            <v>4</v>
          </cell>
          <cell r="I25">
            <v>15</v>
          </cell>
          <cell r="J25">
            <v>80</v>
          </cell>
          <cell r="K25">
            <v>18</v>
          </cell>
          <cell r="L25">
            <v>8</v>
          </cell>
          <cell r="M25">
            <v>52</v>
          </cell>
          <cell r="N25">
            <v>100</v>
          </cell>
        </row>
        <row r="26">
          <cell r="B26" t="str">
            <v>Curtis Granderson</v>
          </cell>
          <cell r="C26">
            <v>647</v>
          </cell>
          <cell r="D26">
            <v>558</v>
          </cell>
          <cell r="E26">
            <v>85</v>
          </cell>
          <cell r="F26">
            <v>136</v>
          </cell>
          <cell r="G26">
            <v>28</v>
          </cell>
          <cell r="H26">
            <v>3</v>
          </cell>
          <cell r="I26">
            <v>25</v>
          </cell>
          <cell r="J26">
            <v>85</v>
          </cell>
          <cell r="K26">
            <v>8</v>
          </cell>
          <cell r="L26">
            <v>3</v>
          </cell>
          <cell r="M26">
            <v>77</v>
          </cell>
          <cell r="N26">
            <v>138</v>
          </cell>
        </row>
        <row r="27">
          <cell r="B27" t="str">
            <v>Melky Cabrera</v>
          </cell>
          <cell r="C27">
            <v>645</v>
          </cell>
          <cell r="D27">
            <v>590</v>
          </cell>
          <cell r="E27">
            <v>72</v>
          </cell>
          <cell r="F27">
            <v>167</v>
          </cell>
          <cell r="G27">
            <v>36</v>
          </cell>
          <cell r="H27">
            <v>3</v>
          </cell>
          <cell r="I27">
            <v>15</v>
          </cell>
          <cell r="J27">
            <v>71</v>
          </cell>
          <cell r="K27">
            <v>4</v>
          </cell>
          <cell r="L27">
            <v>1</v>
          </cell>
          <cell r="M27">
            <v>45</v>
          </cell>
          <cell r="N27">
            <v>82</v>
          </cell>
        </row>
        <row r="28">
          <cell r="B28" t="str">
            <v>Kole Calhoun</v>
          </cell>
          <cell r="C28">
            <v>642</v>
          </cell>
          <cell r="D28">
            <v>580</v>
          </cell>
          <cell r="E28">
            <v>86</v>
          </cell>
          <cell r="F28">
            <v>154</v>
          </cell>
          <cell r="G28">
            <v>30</v>
          </cell>
          <cell r="H28">
            <v>4</v>
          </cell>
          <cell r="I28">
            <v>20</v>
          </cell>
          <cell r="J28">
            <v>85</v>
          </cell>
          <cell r="K28">
            <v>4</v>
          </cell>
          <cell r="L28">
            <v>3</v>
          </cell>
          <cell r="M28">
            <v>52</v>
          </cell>
          <cell r="N28">
            <v>130</v>
          </cell>
        </row>
        <row r="29">
          <cell r="B29" t="str">
            <v>Paul Goldschmidt</v>
          </cell>
          <cell r="C29">
            <v>639</v>
          </cell>
          <cell r="D29">
            <v>532</v>
          </cell>
          <cell r="E29">
            <v>93</v>
          </cell>
          <cell r="F29">
            <v>159</v>
          </cell>
          <cell r="G29">
            <v>35</v>
          </cell>
          <cell r="H29">
            <v>2</v>
          </cell>
          <cell r="I29">
            <v>25</v>
          </cell>
          <cell r="J29">
            <v>93</v>
          </cell>
          <cell r="K29">
            <v>21</v>
          </cell>
          <cell r="L29">
            <v>4</v>
          </cell>
          <cell r="M29">
            <v>94</v>
          </cell>
          <cell r="N29">
            <v>139</v>
          </cell>
        </row>
        <row r="30">
          <cell r="B30" t="str">
            <v>Matt Kemp</v>
          </cell>
          <cell r="C30">
            <v>639</v>
          </cell>
          <cell r="D30">
            <v>585</v>
          </cell>
          <cell r="E30">
            <v>83</v>
          </cell>
          <cell r="F30">
            <v>158</v>
          </cell>
          <cell r="G30">
            <v>34</v>
          </cell>
          <cell r="H30">
            <v>2</v>
          </cell>
          <cell r="I30">
            <v>26</v>
          </cell>
          <cell r="J30">
            <v>82</v>
          </cell>
          <cell r="K30">
            <v>7</v>
          </cell>
          <cell r="L30">
            <v>2</v>
          </cell>
          <cell r="M30">
            <v>44</v>
          </cell>
          <cell r="N30">
            <v>147</v>
          </cell>
        </row>
        <row r="31">
          <cell r="B31" t="str">
            <v>Adam Jones</v>
          </cell>
          <cell r="C31">
            <v>638</v>
          </cell>
          <cell r="D31">
            <v>592</v>
          </cell>
          <cell r="E31">
            <v>81</v>
          </cell>
          <cell r="F31">
            <v>159</v>
          </cell>
          <cell r="G31">
            <v>24</v>
          </cell>
          <cell r="H31">
            <v>2</v>
          </cell>
          <cell r="I31">
            <v>27</v>
          </cell>
          <cell r="J31">
            <v>80</v>
          </cell>
          <cell r="K31">
            <v>4</v>
          </cell>
          <cell r="L31">
            <v>1</v>
          </cell>
          <cell r="M31">
            <v>32</v>
          </cell>
          <cell r="N31">
            <v>116</v>
          </cell>
        </row>
        <row r="32">
          <cell r="B32" t="str">
            <v>Adrian Gonzalez</v>
          </cell>
          <cell r="C32">
            <v>637</v>
          </cell>
          <cell r="D32">
            <v>569</v>
          </cell>
          <cell r="E32">
            <v>74</v>
          </cell>
          <cell r="F32">
            <v>157</v>
          </cell>
          <cell r="G32">
            <v>33</v>
          </cell>
          <cell r="H32">
            <v>0</v>
          </cell>
          <cell r="I32">
            <v>23</v>
          </cell>
          <cell r="J32">
            <v>74</v>
          </cell>
          <cell r="K32">
            <v>2</v>
          </cell>
          <cell r="L32">
            <v>2</v>
          </cell>
          <cell r="M32">
            <v>57</v>
          </cell>
          <cell r="N32">
            <v>115</v>
          </cell>
        </row>
        <row r="33">
          <cell r="B33" t="str">
            <v>Brett Gardner</v>
          </cell>
          <cell r="C33">
            <v>636</v>
          </cell>
          <cell r="D33">
            <v>555</v>
          </cell>
          <cell r="E33">
            <v>84</v>
          </cell>
          <cell r="F33">
            <v>144</v>
          </cell>
          <cell r="G33">
            <v>25</v>
          </cell>
          <cell r="H33">
            <v>5</v>
          </cell>
          <cell r="I33">
            <v>13</v>
          </cell>
          <cell r="J33">
            <v>84</v>
          </cell>
          <cell r="K33">
            <v>17</v>
          </cell>
          <cell r="L33">
            <v>4</v>
          </cell>
          <cell r="M33">
            <v>63</v>
          </cell>
          <cell r="N33">
            <v>123</v>
          </cell>
        </row>
        <row r="34">
          <cell r="B34" t="str">
            <v>Jason Kipnis</v>
          </cell>
          <cell r="C34">
            <v>635</v>
          </cell>
          <cell r="D34">
            <v>566</v>
          </cell>
          <cell r="E34">
            <v>81</v>
          </cell>
          <cell r="F34">
            <v>155</v>
          </cell>
          <cell r="G34">
            <v>36</v>
          </cell>
          <cell r="H34">
            <v>4</v>
          </cell>
          <cell r="I34">
            <v>15</v>
          </cell>
          <cell r="J34">
            <v>81</v>
          </cell>
          <cell r="K34">
            <v>15</v>
          </cell>
          <cell r="L34">
            <v>4</v>
          </cell>
          <cell r="M34">
            <v>55</v>
          </cell>
          <cell r="N34">
            <v>122</v>
          </cell>
        </row>
        <row r="35">
          <cell r="B35" t="str">
            <v>Matt Carpenter</v>
          </cell>
          <cell r="C35">
            <v>634</v>
          </cell>
          <cell r="D35">
            <v>541</v>
          </cell>
          <cell r="E35">
            <v>90</v>
          </cell>
          <cell r="F35">
            <v>146</v>
          </cell>
          <cell r="G35">
            <v>37</v>
          </cell>
          <cell r="H35">
            <v>4</v>
          </cell>
          <cell r="I35">
            <v>20</v>
          </cell>
          <cell r="J35">
            <v>89</v>
          </cell>
          <cell r="K35">
            <v>4</v>
          </cell>
          <cell r="L35">
            <v>3</v>
          </cell>
          <cell r="M35">
            <v>80</v>
          </cell>
          <cell r="N35">
            <v>125</v>
          </cell>
        </row>
        <row r="36">
          <cell r="B36" t="str">
            <v>Eric Hosmer</v>
          </cell>
          <cell r="C36">
            <v>634</v>
          </cell>
          <cell r="D36">
            <v>574</v>
          </cell>
          <cell r="E36">
            <v>79</v>
          </cell>
          <cell r="F36">
            <v>158</v>
          </cell>
          <cell r="G36">
            <v>29</v>
          </cell>
          <cell r="H36">
            <v>2</v>
          </cell>
          <cell r="I36">
            <v>19</v>
          </cell>
          <cell r="J36">
            <v>79</v>
          </cell>
          <cell r="K36">
            <v>6</v>
          </cell>
          <cell r="L36">
            <v>3</v>
          </cell>
          <cell r="M36">
            <v>52</v>
          </cell>
          <cell r="N36">
            <v>116</v>
          </cell>
        </row>
        <row r="37">
          <cell r="B37" t="str">
            <v>Edwin Encarnacion</v>
          </cell>
          <cell r="C37">
            <v>633</v>
          </cell>
          <cell r="D37">
            <v>548</v>
          </cell>
          <cell r="E37">
            <v>94</v>
          </cell>
          <cell r="F37">
            <v>152</v>
          </cell>
          <cell r="G37">
            <v>32</v>
          </cell>
          <cell r="H37">
            <v>1</v>
          </cell>
          <cell r="I37">
            <v>37</v>
          </cell>
          <cell r="J37">
            <v>94</v>
          </cell>
          <cell r="K37">
            <v>3</v>
          </cell>
          <cell r="L37">
            <v>1</v>
          </cell>
          <cell r="M37">
            <v>76</v>
          </cell>
          <cell r="N37">
            <v>113</v>
          </cell>
        </row>
        <row r="38">
          <cell r="B38" t="str">
            <v>Corey Seager</v>
          </cell>
          <cell r="C38">
            <v>630</v>
          </cell>
          <cell r="D38">
            <v>576</v>
          </cell>
          <cell r="E38">
            <v>89</v>
          </cell>
          <cell r="F38">
            <v>167</v>
          </cell>
          <cell r="G38">
            <v>40</v>
          </cell>
          <cell r="H38">
            <v>4</v>
          </cell>
          <cell r="I38">
            <v>21</v>
          </cell>
          <cell r="J38">
            <v>87</v>
          </cell>
          <cell r="K38">
            <v>5</v>
          </cell>
          <cell r="L38">
            <v>2</v>
          </cell>
          <cell r="M38">
            <v>46</v>
          </cell>
          <cell r="N38">
            <v>117</v>
          </cell>
        </row>
        <row r="39">
          <cell r="B39" t="str">
            <v>Nolan Arenado</v>
          </cell>
          <cell r="C39">
            <v>629</v>
          </cell>
          <cell r="D39">
            <v>570</v>
          </cell>
          <cell r="E39">
            <v>92</v>
          </cell>
          <cell r="F39">
            <v>163</v>
          </cell>
          <cell r="G39">
            <v>36</v>
          </cell>
          <cell r="H39">
            <v>4</v>
          </cell>
          <cell r="I39">
            <v>33</v>
          </cell>
          <cell r="J39">
            <v>92</v>
          </cell>
          <cell r="K39">
            <v>3</v>
          </cell>
          <cell r="L39">
            <v>3</v>
          </cell>
          <cell r="M39">
            <v>47</v>
          </cell>
          <cell r="N39">
            <v>100</v>
          </cell>
        </row>
        <row r="40">
          <cell r="B40" t="str">
            <v>Chris Davis</v>
          </cell>
          <cell r="C40">
            <v>628</v>
          </cell>
          <cell r="D40">
            <v>540</v>
          </cell>
          <cell r="E40">
            <v>88</v>
          </cell>
          <cell r="F40">
            <v>126</v>
          </cell>
          <cell r="G40">
            <v>24</v>
          </cell>
          <cell r="H40">
            <v>0</v>
          </cell>
          <cell r="I40">
            <v>35</v>
          </cell>
          <cell r="J40">
            <v>88</v>
          </cell>
          <cell r="K40">
            <v>2</v>
          </cell>
          <cell r="L40">
            <v>1</v>
          </cell>
          <cell r="M40">
            <v>75</v>
          </cell>
          <cell r="N40">
            <v>193</v>
          </cell>
        </row>
        <row r="41">
          <cell r="B41" t="str">
            <v>Freddie Freeman</v>
          </cell>
          <cell r="C41">
            <v>625</v>
          </cell>
          <cell r="D41">
            <v>538</v>
          </cell>
          <cell r="E41">
            <v>84</v>
          </cell>
          <cell r="F41">
            <v>154</v>
          </cell>
          <cell r="G41">
            <v>36</v>
          </cell>
          <cell r="H41">
            <v>3</v>
          </cell>
          <cell r="I41">
            <v>24</v>
          </cell>
          <cell r="J41">
            <v>84</v>
          </cell>
          <cell r="K41">
            <v>5</v>
          </cell>
          <cell r="L41">
            <v>2</v>
          </cell>
          <cell r="M41">
            <v>75</v>
          </cell>
          <cell r="N41">
            <v>139</v>
          </cell>
        </row>
        <row r="42">
          <cell r="B42" t="str">
            <v>Justin Upton</v>
          </cell>
          <cell r="C42">
            <v>624</v>
          </cell>
          <cell r="D42">
            <v>557</v>
          </cell>
          <cell r="E42">
            <v>80</v>
          </cell>
          <cell r="F42">
            <v>141</v>
          </cell>
          <cell r="G42">
            <v>28</v>
          </cell>
          <cell r="H42">
            <v>3</v>
          </cell>
          <cell r="I42">
            <v>28</v>
          </cell>
          <cell r="J42">
            <v>80</v>
          </cell>
          <cell r="K42">
            <v>11</v>
          </cell>
          <cell r="L42">
            <v>4</v>
          </cell>
          <cell r="M42">
            <v>56</v>
          </cell>
          <cell r="N42">
            <v>164</v>
          </cell>
        </row>
        <row r="43">
          <cell r="B43" t="str">
            <v>Elvis Andrus</v>
          </cell>
          <cell r="C43">
            <v>624</v>
          </cell>
          <cell r="D43">
            <v>561</v>
          </cell>
          <cell r="E43">
            <v>72</v>
          </cell>
          <cell r="F43">
            <v>153</v>
          </cell>
          <cell r="G43">
            <v>32</v>
          </cell>
          <cell r="H43">
            <v>4</v>
          </cell>
          <cell r="I43">
            <v>8</v>
          </cell>
          <cell r="J43">
            <v>72</v>
          </cell>
          <cell r="K43">
            <v>23</v>
          </cell>
          <cell r="L43">
            <v>9</v>
          </cell>
          <cell r="M43">
            <v>47</v>
          </cell>
          <cell r="N43">
            <v>86</v>
          </cell>
        </row>
        <row r="44">
          <cell r="B44" t="str">
            <v>Adrian Beltre</v>
          </cell>
          <cell r="C44">
            <v>623</v>
          </cell>
          <cell r="D44">
            <v>565</v>
          </cell>
          <cell r="E44">
            <v>83</v>
          </cell>
          <cell r="F44">
            <v>167</v>
          </cell>
          <cell r="G44">
            <v>31</v>
          </cell>
          <cell r="H44">
            <v>2</v>
          </cell>
          <cell r="I44">
            <v>23</v>
          </cell>
          <cell r="J44">
            <v>82</v>
          </cell>
          <cell r="K44">
            <v>2</v>
          </cell>
          <cell r="L44">
            <v>1</v>
          </cell>
          <cell r="M44">
            <v>48</v>
          </cell>
          <cell r="N44">
            <v>76</v>
          </cell>
        </row>
        <row r="45">
          <cell r="B45" t="str">
            <v>Miguel Cabrera</v>
          </cell>
          <cell r="C45">
            <v>621</v>
          </cell>
          <cell r="D45">
            <v>543</v>
          </cell>
          <cell r="E45">
            <v>83</v>
          </cell>
          <cell r="F45">
            <v>169</v>
          </cell>
          <cell r="G45">
            <v>34</v>
          </cell>
          <cell r="H45">
            <v>1</v>
          </cell>
          <cell r="I45">
            <v>27</v>
          </cell>
          <cell r="J45">
            <v>83</v>
          </cell>
          <cell r="K45">
            <v>2</v>
          </cell>
          <cell r="L45">
            <v>1</v>
          </cell>
          <cell r="M45">
            <v>68</v>
          </cell>
          <cell r="N45">
            <v>108</v>
          </cell>
        </row>
        <row r="46">
          <cell r="B46" t="str">
            <v>Jean Segura</v>
          </cell>
          <cell r="C46">
            <v>620</v>
          </cell>
          <cell r="D46">
            <v>575</v>
          </cell>
          <cell r="E46">
            <v>70</v>
          </cell>
          <cell r="F46">
            <v>153</v>
          </cell>
          <cell r="G46">
            <v>24</v>
          </cell>
          <cell r="H46">
            <v>4</v>
          </cell>
          <cell r="I46">
            <v>12</v>
          </cell>
          <cell r="J46">
            <v>69</v>
          </cell>
          <cell r="K46">
            <v>24</v>
          </cell>
          <cell r="L46">
            <v>8</v>
          </cell>
          <cell r="M46">
            <v>30</v>
          </cell>
          <cell r="N46">
            <v>95</v>
          </cell>
        </row>
        <row r="47">
          <cell r="B47" t="str">
            <v>Christian Yelich</v>
          </cell>
          <cell r="C47">
            <v>619</v>
          </cell>
          <cell r="D47">
            <v>549</v>
          </cell>
          <cell r="E47">
            <v>77</v>
          </cell>
          <cell r="F47">
            <v>158</v>
          </cell>
          <cell r="G47">
            <v>33</v>
          </cell>
          <cell r="H47">
            <v>3</v>
          </cell>
          <cell r="I47">
            <v>14</v>
          </cell>
          <cell r="J47">
            <v>76</v>
          </cell>
          <cell r="K47">
            <v>14</v>
          </cell>
          <cell r="L47">
            <v>5</v>
          </cell>
          <cell r="M47">
            <v>62</v>
          </cell>
          <cell r="N47">
            <v>128</v>
          </cell>
        </row>
        <row r="48">
          <cell r="B48" t="str">
            <v>Manny Machado</v>
          </cell>
          <cell r="C48">
            <v>617</v>
          </cell>
          <cell r="D48">
            <v>559</v>
          </cell>
          <cell r="E48">
            <v>86</v>
          </cell>
          <cell r="F48">
            <v>160</v>
          </cell>
          <cell r="G48">
            <v>31</v>
          </cell>
          <cell r="H48">
            <v>1</v>
          </cell>
          <cell r="I48">
            <v>29</v>
          </cell>
          <cell r="J48">
            <v>85</v>
          </cell>
          <cell r="K48">
            <v>7</v>
          </cell>
          <cell r="L48">
            <v>4</v>
          </cell>
          <cell r="M48">
            <v>49</v>
          </cell>
          <cell r="N48">
            <v>107</v>
          </cell>
        </row>
        <row r="49">
          <cell r="B49" t="str">
            <v>Yoenis Cespedes</v>
          </cell>
          <cell r="C49">
            <v>614</v>
          </cell>
          <cell r="D49">
            <v>560</v>
          </cell>
          <cell r="E49">
            <v>82</v>
          </cell>
          <cell r="F49">
            <v>150</v>
          </cell>
          <cell r="G49">
            <v>31</v>
          </cell>
          <cell r="H49">
            <v>3</v>
          </cell>
          <cell r="I49">
            <v>28</v>
          </cell>
          <cell r="J49">
            <v>81</v>
          </cell>
          <cell r="K49">
            <v>6</v>
          </cell>
          <cell r="L49">
            <v>3</v>
          </cell>
          <cell r="M49">
            <v>43</v>
          </cell>
          <cell r="N49">
            <v>125</v>
          </cell>
        </row>
        <row r="50">
          <cell r="B50" t="str">
            <v>Stephen Piscotty</v>
          </cell>
          <cell r="C50">
            <v>614</v>
          </cell>
          <cell r="D50">
            <v>552</v>
          </cell>
          <cell r="E50">
            <v>77</v>
          </cell>
          <cell r="F50">
            <v>150</v>
          </cell>
          <cell r="G50">
            <v>32</v>
          </cell>
          <cell r="H50">
            <v>3</v>
          </cell>
          <cell r="I50">
            <v>18</v>
          </cell>
          <cell r="J50">
            <v>74</v>
          </cell>
          <cell r="K50">
            <v>8</v>
          </cell>
          <cell r="L50">
            <v>6</v>
          </cell>
          <cell r="M50">
            <v>51</v>
          </cell>
          <cell r="N50">
            <v>111</v>
          </cell>
        </row>
        <row r="51">
          <cell r="B51" t="str">
            <v>Gregory Polanco</v>
          </cell>
          <cell r="C51">
            <v>614</v>
          </cell>
          <cell r="D51">
            <v>553</v>
          </cell>
          <cell r="E51">
            <v>83</v>
          </cell>
          <cell r="F51">
            <v>144</v>
          </cell>
          <cell r="G51">
            <v>31</v>
          </cell>
          <cell r="H51">
            <v>5</v>
          </cell>
          <cell r="I51">
            <v>16</v>
          </cell>
          <cell r="J51">
            <v>83</v>
          </cell>
          <cell r="K51">
            <v>21</v>
          </cell>
          <cell r="L51">
            <v>8</v>
          </cell>
          <cell r="M51">
            <v>54</v>
          </cell>
          <cell r="N51">
            <v>118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M2"/>
  <sheetViews>
    <sheetView workbookViewId="0">
      <selection activeCell="I15" sqref="I15"/>
    </sheetView>
  </sheetViews>
  <sheetFormatPr defaultRowHeight="15" x14ac:dyDescent="0.25"/>
  <cols>
    <col min="190" max="190" width="12.42578125" bestFit="1" customWidth="1"/>
    <col min="191" max="192" width="12" bestFit="1" customWidth="1"/>
  </cols>
  <sheetData>
    <row r="1" spans="1:195" x14ac:dyDescent="0.25">
      <c r="A1" t="s">
        <v>2</v>
      </c>
      <c r="B1" t="s">
        <v>3</v>
      </c>
      <c r="C1" s="1" t="s">
        <v>4</v>
      </c>
      <c r="D1" s="1" t="s">
        <v>5</v>
      </c>
      <c r="E1" s="1" t="s">
        <v>6</v>
      </c>
      <c r="F1" s="1" t="s">
        <v>7</v>
      </c>
      <c r="G1" s="1" t="s">
        <v>8</v>
      </c>
      <c r="H1" s="1" t="s">
        <v>9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14</v>
      </c>
      <c r="N1" s="1" t="s">
        <v>15</v>
      </c>
      <c r="O1" s="1" t="s">
        <v>16</v>
      </c>
      <c r="P1" s="1" t="s">
        <v>17</v>
      </c>
      <c r="Q1" s="1" t="s">
        <v>18</v>
      </c>
      <c r="R1" s="1" t="s">
        <v>19</v>
      </c>
      <c r="S1" s="1" t="s">
        <v>20</v>
      </c>
      <c r="T1" s="1" t="s">
        <v>21</v>
      </c>
      <c r="U1" s="1" t="s">
        <v>22</v>
      </c>
      <c r="V1" s="1" t="s">
        <v>23</v>
      </c>
      <c r="W1" s="1" t="s">
        <v>24</v>
      </c>
      <c r="X1" s="1" t="s">
        <v>25</v>
      </c>
      <c r="Y1" s="1" t="s">
        <v>26</v>
      </c>
      <c r="Z1" s="1" t="s">
        <v>27</v>
      </c>
      <c r="AA1" s="1" t="s">
        <v>28</v>
      </c>
      <c r="AB1" s="1" t="s">
        <v>29</v>
      </c>
      <c r="AC1" s="1" t="s">
        <v>30</v>
      </c>
      <c r="AD1" s="1" t="s">
        <v>31</v>
      </c>
      <c r="AE1" s="1" t="s">
        <v>32</v>
      </c>
      <c r="AF1" s="1" t="s">
        <v>33</v>
      </c>
      <c r="AG1" s="1" t="s">
        <v>34</v>
      </c>
      <c r="AH1" s="1" t="s">
        <v>35</v>
      </c>
      <c r="AI1" s="1" t="s">
        <v>36</v>
      </c>
      <c r="AJ1" s="1" t="s">
        <v>37</v>
      </c>
      <c r="AK1" s="1" t="s">
        <v>38</v>
      </c>
      <c r="AL1" s="1" t="s">
        <v>39</v>
      </c>
      <c r="AM1" s="1" t="s">
        <v>40</v>
      </c>
      <c r="AN1" s="1" t="s">
        <v>41</v>
      </c>
      <c r="AO1" s="1" t="s">
        <v>42</v>
      </c>
      <c r="AP1" s="1" t="s">
        <v>43</v>
      </c>
      <c r="AQ1" s="1" t="s">
        <v>44</v>
      </c>
      <c r="AR1" s="1" t="s">
        <v>45</v>
      </c>
      <c r="AS1" s="1" t="s">
        <v>46</v>
      </c>
      <c r="AT1" s="1" t="s">
        <v>47</v>
      </c>
      <c r="AU1" s="1" t="s">
        <v>48</v>
      </c>
      <c r="AV1" s="1" t="s">
        <v>49</v>
      </c>
      <c r="AW1" s="1" t="s">
        <v>50</v>
      </c>
      <c r="AX1" s="1" t="s">
        <v>51</v>
      </c>
      <c r="AY1" s="1" t="s">
        <v>52</v>
      </c>
      <c r="AZ1" s="1" t="s">
        <v>53</v>
      </c>
      <c r="BA1" s="1" t="s">
        <v>54</v>
      </c>
      <c r="BB1" s="1" t="s">
        <v>55</v>
      </c>
      <c r="BC1" s="1" t="s">
        <v>56</v>
      </c>
      <c r="BD1" s="1" t="s">
        <v>57</v>
      </c>
      <c r="BE1" s="1" t="s">
        <v>58</v>
      </c>
      <c r="BF1" s="1" t="s">
        <v>59</v>
      </c>
      <c r="BG1" s="1" t="s">
        <v>60</v>
      </c>
      <c r="BH1" s="1" t="s">
        <v>61</v>
      </c>
      <c r="BI1" s="1" t="s">
        <v>62</v>
      </c>
      <c r="BJ1" s="1" t="s">
        <v>63</v>
      </c>
      <c r="BK1" s="1" t="s">
        <v>64</v>
      </c>
      <c r="BL1" s="1" t="s">
        <v>65</v>
      </c>
      <c r="BM1" s="1" t="s">
        <v>66</v>
      </c>
      <c r="BN1" s="1" t="s">
        <v>67</v>
      </c>
      <c r="BO1" s="1" t="s">
        <v>68</v>
      </c>
      <c r="BP1" s="1" t="s">
        <v>69</v>
      </c>
      <c r="BQ1" s="1" t="s">
        <v>70</v>
      </c>
      <c r="BR1" s="1" t="s">
        <v>71</v>
      </c>
      <c r="BS1" s="1" t="s">
        <v>72</v>
      </c>
      <c r="BT1" s="1" t="s">
        <v>73</v>
      </c>
      <c r="BU1" s="1" t="s">
        <v>74</v>
      </c>
      <c r="BV1" s="1" t="s">
        <v>75</v>
      </c>
      <c r="BW1" s="1" t="s">
        <v>76</v>
      </c>
      <c r="BX1" s="1" t="s">
        <v>77</v>
      </c>
      <c r="BY1" s="1" t="s">
        <v>78</v>
      </c>
      <c r="BZ1" s="1" t="s">
        <v>79</v>
      </c>
      <c r="CA1" s="1" t="s">
        <v>80</v>
      </c>
      <c r="CB1" s="1" t="s">
        <v>81</v>
      </c>
      <c r="CC1" s="1" t="s">
        <v>82</v>
      </c>
      <c r="CD1" s="1" t="s">
        <v>83</v>
      </c>
      <c r="CE1" s="1" t="s">
        <v>84</v>
      </c>
      <c r="CF1" s="1" t="s">
        <v>85</v>
      </c>
      <c r="CG1" s="1" t="s">
        <v>86</v>
      </c>
      <c r="CH1" s="1" t="s">
        <v>87</v>
      </c>
      <c r="CI1" s="1" t="s">
        <v>88</v>
      </c>
      <c r="CJ1" s="1" t="s">
        <v>89</v>
      </c>
      <c r="CK1" s="1" t="s">
        <v>90</v>
      </c>
      <c r="CL1" s="1" t="s">
        <v>91</v>
      </c>
      <c r="CM1" s="1" t="s">
        <v>92</v>
      </c>
      <c r="CN1" s="1" t="s">
        <v>93</v>
      </c>
      <c r="CO1" s="1" t="s">
        <v>94</v>
      </c>
      <c r="CP1" s="1" t="s">
        <v>95</v>
      </c>
      <c r="CQ1" s="1" t="s">
        <v>96</v>
      </c>
      <c r="CR1" s="1" t="s">
        <v>97</v>
      </c>
      <c r="CS1" s="1" t="s">
        <v>98</v>
      </c>
      <c r="CT1" s="1" t="s">
        <v>99</v>
      </c>
      <c r="CU1" s="1" t="s">
        <v>100</v>
      </c>
      <c r="CV1" s="1" t="s">
        <v>101</v>
      </c>
      <c r="CW1" s="1" t="s">
        <v>102</v>
      </c>
      <c r="CX1" s="1" t="s">
        <v>103</v>
      </c>
      <c r="CY1" s="1" t="s">
        <v>104</v>
      </c>
      <c r="CZ1" s="1" t="s">
        <v>105</v>
      </c>
      <c r="DA1" s="1" t="s">
        <v>106</v>
      </c>
      <c r="DB1" s="1" t="s">
        <v>107</v>
      </c>
      <c r="DC1" s="1" t="s">
        <v>108</v>
      </c>
      <c r="DD1" s="1" t="s">
        <v>109</v>
      </c>
      <c r="DE1" s="1" t="s">
        <v>110</v>
      </c>
      <c r="DF1" s="1" t="s">
        <v>111</v>
      </c>
      <c r="DG1" s="1" t="s">
        <v>112</v>
      </c>
      <c r="DH1" s="1" t="s">
        <v>113</v>
      </c>
      <c r="DI1" s="1" t="s">
        <v>114</v>
      </c>
      <c r="DJ1" s="1" t="s">
        <v>115</v>
      </c>
      <c r="DK1" s="1" t="s">
        <v>116</v>
      </c>
      <c r="DL1" s="1" t="s">
        <v>117</v>
      </c>
      <c r="DM1" s="1" t="s">
        <v>118</v>
      </c>
      <c r="DN1" s="1" t="s">
        <v>119</v>
      </c>
      <c r="DO1" s="1" t="s">
        <v>120</v>
      </c>
      <c r="DP1" s="1" t="s">
        <v>121</v>
      </c>
      <c r="DQ1" s="1" t="s">
        <v>122</v>
      </c>
      <c r="DR1" s="2" t="s">
        <v>123</v>
      </c>
      <c r="DS1" s="1" t="s">
        <v>124</v>
      </c>
      <c r="DT1" s="1" t="s">
        <v>125</v>
      </c>
      <c r="DU1" s="1" t="s">
        <v>126</v>
      </c>
      <c r="DV1" s="1" t="s">
        <v>127</v>
      </c>
      <c r="DW1" s="1" t="s">
        <v>128</v>
      </c>
      <c r="DX1" s="1" t="s">
        <v>129</v>
      </c>
      <c r="DY1" s="1" t="s">
        <v>130</v>
      </c>
      <c r="DZ1" s="1" t="s">
        <v>131</v>
      </c>
      <c r="EA1" s="1" t="s">
        <v>132</v>
      </c>
      <c r="EB1" s="1" t="s">
        <v>133</v>
      </c>
      <c r="EC1" s="1" t="s">
        <v>134</v>
      </c>
      <c r="ED1" s="1" t="s">
        <v>135</v>
      </c>
      <c r="EE1" s="1" t="s">
        <v>136</v>
      </c>
      <c r="EF1" s="1" t="s">
        <v>137</v>
      </c>
      <c r="EG1" s="1" t="s">
        <v>138</v>
      </c>
      <c r="EH1" s="1" t="s">
        <v>139</v>
      </c>
      <c r="EI1" s="1" t="s">
        <v>140</v>
      </c>
      <c r="EJ1" s="1" t="s">
        <v>141</v>
      </c>
      <c r="EK1" s="1" t="s">
        <v>142</v>
      </c>
      <c r="EL1" s="1" t="s">
        <v>143</v>
      </c>
      <c r="EM1" s="1" t="s">
        <v>144</v>
      </c>
      <c r="EN1" s="1" t="s">
        <v>145</v>
      </c>
      <c r="EO1" s="1" t="s">
        <v>146</v>
      </c>
      <c r="EP1" s="1" t="s">
        <v>147</v>
      </c>
      <c r="EQ1" s="1" t="s">
        <v>148</v>
      </c>
      <c r="ER1" s="1" t="s">
        <v>149</v>
      </c>
      <c r="ES1" s="1" t="s">
        <v>150</v>
      </c>
      <c r="ET1" s="1" t="s">
        <v>151</v>
      </c>
      <c r="EU1" s="1" t="s">
        <v>152</v>
      </c>
      <c r="EV1" s="1" t="s">
        <v>153</v>
      </c>
      <c r="EW1" s="1" t="s">
        <v>154</v>
      </c>
      <c r="EX1" s="1" t="s">
        <v>155</v>
      </c>
      <c r="EY1" s="1" t="s">
        <v>156</v>
      </c>
      <c r="EZ1" t="s">
        <v>123</v>
      </c>
      <c r="FA1" t="s">
        <v>124</v>
      </c>
      <c r="FB1" t="s">
        <v>125</v>
      </c>
      <c r="FC1" t="s">
        <v>126</v>
      </c>
      <c r="FD1" t="s">
        <v>127</v>
      </c>
      <c r="FE1" t="s">
        <v>128</v>
      </c>
      <c r="FF1" t="s">
        <v>129</v>
      </c>
      <c r="FG1" t="s">
        <v>130</v>
      </c>
      <c r="FH1" t="s">
        <v>131</v>
      </c>
      <c r="FI1" t="s">
        <v>132</v>
      </c>
      <c r="FJ1" t="s">
        <v>133</v>
      </c>
      <c r="FK1" t="s">
        <v>134</v>
      </c>
      <c r="FL1" t="s">
        <v>135</v>
      </c>
      <c r="FM1" t="s">
        <v>136</v>
      </c>
      <c r="FN1" t="s">
        <v>137</v>
      </c>
      <c r="FO1" t="s">
        <v>138</v>
      </c>
      <c r="FP1" t="s">
        <v>139</v>
      </c>
      <c r="FQ1" s="1" t="s">
        <v>123</v>
      </c>
      <c r="FR1" s="1" t="s">
        <v>124</v>
      </c>
      <c r="FS1" s="1" t="s">
        <v>125</v>
      </c>
      <c r="FT1" s="1" t="s">
        <v>126</v>
      </c>
      <c r="FU1" s="1" t="s">
        <v>127</v>
      </c>
      <c r="FV1" s="1" t="s">
        <v>128</v>
      </c>
      <c r="FW1" s="1" t="s">
        <v>129</v>
      </c>
      <c r="FX1" s="1" t="s">
        <v>130</v>
      </c>
      <c r="FY1" s="1" t="s">
        <v>131</v>
      </c>
      <c r="FZ1" s="1" t="s">
        <v>132</v>
      </c>
      <c r="GA1" s="1" t="s">
        <v>133</v>
      </c>
      <c r="GB1" s="1" t="s">
        <v>134</v>
      </c>
      <c r="GC1" s="1" t="s">
        <v>135</v>
      </c>
      <c r="GD1" s="1" t="s">
        <v>136</v>
      </c>
      <c r="GE1" s="1" t="s">
        <v>137</v>
      </c>
      <c r="GF1" s="1" t="s">
        <v>138</v>
      </c>
      <c r="GG1" s="1" t="s">
        <v>139</v>
      </c>
      <c r="GH1" s="1" t="s">
        <v>157</v>
      </c>
      <c r="GI1" s="1" t="s">
        <v>158</v>
      </c>
      <c r="GJ1" s="1" t="s">
        <v>159</v>
      </c>
      <c r="GK1" s="1" t="s">
        <v>160</v>
      </c>
      <c r="GL1" s="1" t="s">
        <v>160</v>
      </c>
      <c r="GM1" s="1" t="s">
        <v>160</v>
      </c>
    </row>
    <row r="2" spans="1:195" x14ac:dyDescent="0.25">
      <c r="A2" t="s">
        <v>0</v>
      </c>
      <c r="B2" t="s">
        <v>1</v>
      </c>
      <c r="C2" s="1">
        <v>590</v>
      </c>
      <c r="D2" s="1">
        <v>541</v>
      </c>
      <c r="E2" s="1">
        <v>76</v>
      </c>
      <c r="F2" s="1">
        <v>168</v>
      </c>
      <c r="G2" s="1">
        <v>107</v>
      </c>
      <c r="H2" s="1">
        <v>41</v>
      </c>
      <c r="I2" s="1">
        <v>3</v>
      </c>
      <c r="J2" s="1">
        <v>17</v>
      </c>
      <c r="K2" s="1">
        <v>76</v>
      </c>
      <c r="L2" s="1">
        <v>6</v>
      </c>
      <c r="M2" s="1">
        <v>3</v>
      </c>
      <c r="N2" s="1">
        <v>37</v>
      </c>
      <c r="O2" s="1">
        <v>69</v>
      </c>
      <c r="P2" s="1">
        <v>0.31053604436229204</v>
      </c>
      <c r="Q2" s="1">
        <v>0.35653650254668928</v>
      </c>
      <c r="R2" s="1">
        <v>0.49168207024029575</v>
      </c>
      <c r="S2" s="1">
        <v>0.84821857278698509</v>
      </c>
      <c r="T2" s="1">
        <v>564</v>
      </c>
      <c r="U2" s="1">
        <v>518</v>
      </c>
      <c r="V2" s="1">
        <v>73</v>
      </c>
      <c r="W2" s="1">
        <v>164</v>
      </c>
      <c r="X2" s="1">
        <v>110</v>
      </c>
      <c r="Y2" s="1">
        <v>37</v>
      </c>
      <c r="Z2" s="1">
        <v>3</v>
      </c>
      <c r="AA2" s="1">
        <v>14</v>
      </c>
      <c r="AB2" s="1">
        <v>75</v>
      </c>
      <c r="AC2" s="1">
        <v>5</v>
      </c>
      <c r="AD2" s="1">
        <v>3</v>
      </c>
      <c r="AE2" s="1">
        <v>35</v>
      </c>
      <c r="AF2" s="1">
        <v>57</v>
      </c>
      <c r="AG2" s="1">
        <v>0.317</v>
      </c>
      <c r="AH2" s="1">
        <v>0.36199999999999999</v>
      </c>
      <c r="AI2" s="1">
        <v>0.48199999999999998</v>
      </c>
      <c r="AJ2" s="1">
        <v>0.84399999999999997</v>
      </c>
      <c r="AK2" s="1">
        <v>620</v>
      </c>
      <c r="AL2" s="1">
        <v>568</v>
      </c>
      <c r="AM2" s="1">
        <v>82</v>
      </c>
      <c r="AN2" s="1">
        <v>174</v>
      </c>
      <c r="AO2" s="1">
        <v>111</v>
      </c>
      <c r="AP2" s="1">
        <v>40</v>
      </c>
      <c r="AQ2" s="1">
        <v>3</v>
      </c>
      <c r="AR2" s="1">
        <v>20</v>
      </c>
      <c r="AS2" s="1">
        <v>82</v>
      </c>
      <c r="AT2" s="1">
        <v>5</v>
      </c>
      <c r="AU2" s="1">
        <v>2</v>
      </c>
      <c r="AV2" s="1">
        <v>41</v>
      </c>
      <c r="AW2" s="1">
        <v>58</v>
      </c>
      <c r="AX2" s="1">
        <v>0.30599999999999999</v>
      </c>
      <c r="AY2" s="1">
        <v>0.35299999999999998</v>
      </c>
      <c r="AZ2" s="1">
        <v>0.49299999999999999</v>
      </c>
      <c r="BA2" s="1">
        <v>0.84599999999999997</v>
      </c>
      <c r="BB2" s="1">
        <v>586</v>
      </c>
      <c r="BC2" s="1">
        <v>543</v>
      </c>
      <c r="BD2" s="1">
        <v>78</v>
      </c>
      <c r="BE2" s="1">
        <v>165</v>
      </c>
      <c r="BF2" s="1">
        <v>106</v>
      </c>
      <c r="BG2" s="1">
        <v>39</v>
      </c>
      <c r="BH2" s="1">
        <v>4</v>
      </c>
      <c r="BI2" s="1">
        <v>16</v>
      </c>
      <c r="BJ2" s="1">
        <v>84</v>
      </c>
      <c r="BK2" s="1">
        <v>9</v>
      </c>
      <c r="BL2" s="1">
        <v>3</v>
      </c>
      <c r="BM2" s="1">
        <v>33</v>
      </c>
      <c r="BN2" s="1">
        <v>63</v>
      </c>
      <c r="BO2" s="1">
        <v>0.30399999999999999</v>
      </c>
      <c r="BP2" s="1">
        <v>0.34499999999999997</v>
      </c>
      <c r="BQ2" s="1">
        <v>0.47899999999999998</v>
      </c>
      <c r="BR2" s="1">
        <v>0.82399999999999995</v>
      </c>
      <c r="BS2" s="1">
        <v>616</v>
      </c>
      <c r="BT2" s="1">
        <v>569</v>
      </c>
      <c r="BU2" s="1">
        <v>81</v>
      </c>
      <c r="BV2" s="1">
        <v>176</v>
      </c>
      <c r="BW2" s="1">
        <v>115</v>
      </c>
      <c r="BX2" s="1">
        <v>41</v>
      </c>
      <c r="BY2" s="1">
        <v>4</v>
      </c>
      <c r="BZ2" s="1">
        <v>16</v>
      </c>
      <c r="CA2" s="1">
        <v>85</v>
      </c>
      <c r="CB2" s="1">
        <v>8</v>
      </c>
      <c r="CC2" s="1">
        <v>3</v>
      </c>
      <c r="CD2" s="1">
        <v>36</v>
      </c>
      <c r="CE2" s="1">
        <v>64</v>
      </c>
      <c r="CF2" s="1">
        <v>0.31</v>
      </c>
      <c r="CG2" s="1">
        <v>0.35299999999999998</v>
      </c>
      <c r="CH2" s="1">
        <v>0.48</v>
      </c>
      <c r="CI2" s="1">
        <v>0.83399999999999996</v>
      </c>
      <c r="CJ2" s="1">
        <v>587</v>
      </c>
      <c r="CK2" s="1">
        <v>545</v>
      </c>
      <c r="CL2" s="1">
        <v>76</v>
      </c>
      <c r="CM2" s="1">
        <v>167</v>
      </c>
      <c r="CN2" s="1">
        <v>110</v>
      </c>
      <c r="CO2" s="1">
        <v>38</v>
      </c>
      <c r="CP2" s="1">
        <v>2</v>
      </c>
      <c r="CQ2" s="1">
        <v>17</v>
      </c>
      <c r="CR2" s="1">
        <v>107</v>
      </c>
      <c r="CS2" s="1">
        <v>5</v>
      </c>
      <c r="CT2" s="1">
        <v>4</v>
      </c>
      <c r="CU2" s="1">
        <v>38</v>
      </c>
      <c r="CV2" s="1">
        <v>67</v>
      </c>
      <c r="CW2" s="1">
        <v>0.30499999999999999</v>
      </c>
      <c r="CX2" s="1">
        <v>0.35399999999999998</v>
      </c>
      <c r="CY2" s="1">
        <v>0.47399999999999998</v>
      </c>
      <c r="CZ2" s="1">
        <v>0.82799999999999996</v>
      </c>
      <c r="DA2" s="1">
        <v>600</v>
      </c>
      <c r="DB2" s="1">
        <v>552</v>
      </c>
      <c r="DC2" s="1">
        <v>77</v>
      </c>
      <c r="DD2" s="1">
        <v>175</v>
      </c>
      <c r="DE2" s="1">
        <v>118</v>
      </c>
      <c r="DF2" s="1">
        <v>39</v>
      </c>
      <c r="DG2" s="1">
        <v>3</v>
      </c>
      <c r="DH2" s="1">
        <v>15</v>
      </c>
      <c r="DI2" s="1">
        <v>81</v>
      </c>
      <c r="DJ2" s="1">
        <v>6</v>
      </c>
      <c r="DK2" s="1">
        <v>3</v>
      </c>
      <c r="DL2" s="1">
        <v>37</v>
      </c>
      <c r="DM2" s="1">
        <v>61</v>
      </c>
      <c r="DN2" s="1">
        <v>0.317</v>
      </c>
      <c r="DO2" s="1">
        <v>0.36199999999999999</v>
      </c>
      <c r="DP2" s="1">
        <v>0.48199999999999998</v>
      </c>
      <c r="DQ2" s="1">
        <v>0.84399999999999997</v>
      </c>
      <c r="DR2" s="1">
        <f>(('[1]Guts-2'!$H$1*0.01)*C2)+(('[1]Guts-2'!$H$7*0.01)*T2)+(('[1]Guts-2'!$H$3*0.01)*AK2)+(('[1]Guts-2'!$H$9*0.01)*BB2)+(('[1]Guts-2'!$H$4*0.01)*BS2)+(('[1]Guts-2'!$H$2*0.01)*CJ2)+(('[1]Guts-2'!$H$8*0.01)*DA2)</f>
        <v>586.30000000000007</v>
      </c>
      <c r="DS2" s="1">
        <f>(('[1]Guts-2'!$H$1*0.01)*D2)+(('[1]Guts-2'!$H$7*0.01)*U2)+(('[1]Guts-2'!$H$3*0.01)*AL2)+(('[1]Guts-2'!$H$9*0.01)*BC2)+(('[1]Guts-2'!$H$4*0.01)*BT2)+(('[1]Guts-2'!$H$2*0.01)*CK2)+(('[1]Guts-2'!$H$8*0.01)*DB2)</f>
        <v>540.5</v>
      </c>
      <c r="DT2" s="1">
        <f>(('[1]Guts-2'!$H$1*0.01)*E2)+(('[1]Guts-2'!$H$7*0.01)*V2)+(('[1]Guts-2'!$H$3*0.01)*AM2)+(('[1]Guts-2'!$H$9*0.01)*BD2)+(('[1]Guts-2'!$H$4*0.01)*BU2)+(('[1]Guts-2'!$H$2*0.01)*CL2)+(('[1]Guts-2'!$H$8*0.01)*DC2)</f>
        <v>76.5</v>
      </c>
      <c r="DU2" s="1">
        <f>(('[1]Guts-2'!$H$1*0.01)*F2)+(('[1]Guts-2'!$H$7*0.01)*W2)+(('[1]Guts-2'!$H$3*0.01)*AN2)+(('[1]Guts-2'!$H$9*0.01)*BE2)+(('[1]Guts-2'!$H$4*0.01)*BV2)+(('[1]Guts-2'!$H$2*0.01)*CM2)+(('[1]Guts-2'!$H$8*0.01)*DD2)</f>
        <v>167.7</v>
      </c>
      <c r="DV2" s="1">
        <f>(('[1]Guts-2'!$H$1*0.01)*G2)+(('[1]Guts-2'!$H$7*0.01)*X2)+(('[1]Guts-2'!$H$3*0.01)*AO2)+(('[1]Guts-2'!$H$9*0.01)*BF2)+(('[1]Guts-2'!$H$4*0.01)*BW2)+(('[1]Guts-2'!$H$2*0.01)*CN2)+(('[1]Guts-2'!$H$8*0.01)*DE2)</f>
        <v>109.60000000000001</v>
      </c>
      <c r="DW2" s="1">
        <f>(('[1]Guts-2'!$H$1*0.01)*H2)+(('[1]Guts-2'!$H$7*0.01)*Y2)+(('[1]Guts-2'!$H$3*0.01)*AP2)+(('[1]Guts-2'!$H$9*0.01)*BG2)+(('[1]Guts-2'!$H$4*0.01)*BX2)+(('[1]Guts-2'!$H$2*0.01)*CO2)+(('[1]Guts-2'!$H$8*0.01)*DF2)</f>
        <v>39.1</v>
      </c>
      <c r="DX2" s="1">
        <f>(('[1]Guts-2'!$H$1*0.01)*I2)+(('[1]Guts-2'!$H$7*0.01)*Z2)+(('[1]Guts-2'!$H$3*0.01)*AQ2)+(('[1]Guts-2'!$H$9*0.01)*BH2)+(('[1]Guts-2'!$H$4*0.01)*BY2)+(('[1]Guts-2'!$H$2*0.01)*CP2)+(('[1]Guts-2'!$H$8*0.01)*DG2)</f>
        <v>3.3</v>
      </c>
      <c r="DY2" s="1">
        <f>(('[1]Guts-2'!$H$1*0.01)*J2)+(('[1]Guts-2'!$H$7*0.01)*AA2)+(('[1]Guts-2'!$H$3*0.01)*AR2)+(('[1]Guts-2'!$H$9*0.01)*BI2)+(('[1]Guts-2'!$H$4*0.01)*BZ2)+(('[1]Guts-2'!$H$2*0.01)*CQ2)+(('[1]Guts-2'!$H$8*0.01)*DH2)</f>
        <v>15.7</v>
      </c>
      <c r="DZ2" s="1">
        <f>(('[1]Guts-2'!$H$1*0.01)*K2)+(('[1]Guts-2'!$H$7*0.01)*AB2)+(('[1]Guts-2'!$H$3*0.01)*AS2)+(('[1]Guts-2'!$H$9*0.01)*BJ2)+(('[1]Guts-2'!$H$4*0.01)*CA2)+(('[1]Guts-2'!$H$2*0.01)*CR2)+(('[1]Guts-2'!$H$8*0.01)*DI2)</f>
        <v>82.2</v>
      </c>
      <c r="EA2" s="1">
        <f>(('[1]Guts-2'!$H$1*0.01)*L2)+(('[1]Guts-2'!$H$7*0.01)*AC2)+(('[1]Guts-2'!$H$3*0.01)*AT2)+(('[1]Guts-2'!$H$9*0.01)*BK2)+(('[1]Guts-2'!$H$4*0.01)*CB2)+(('[1]Guts-2'!$H$2*0.01)*CS2)+(('[1]Guts-2'!$H$8*0.01)*DJ2)</f>
        <v>6.6</v>
      </c>
      <c r="EB2" s="1">
        <f>(('[1]Guts-2'!$H$1*0.01)*M2)+(('[1]Guts-2'!$H$7*0.01)*AD2)+(('[1]Guts-2'!$H$3*0.01)*AU2)+(('[1]Guts-2'!$H$9*0.01)*BL2)+(('[1]Guts-2'!$H$4*0.01)*CC2)+(('[1]Guts-2'!$H$2*0.01)*CT2)+(('[1]Guts-2'!$H$8*0.01)*DK2)</f>
        <v>3.1</v>
      </c>
      <c r="EC2" s="1">
        <f>(('[1]Guts-2'!$H$1*0.01)*N2)+(('[1]Guts-2'!$H$7*0.01)*AE2)+(('[1]Guts-2'!$H$3*0.01)*AV2)+(('[1]Guts-2'!$H$9*0.01)*BM2)+(('[1]Guts-2'!$H$4*0.01)*CD2)+(('[1]Guts-2'!$H$2*0.01)*CU2)+(('[1]Guts-2'!$H$8*0.01)*DL2)</f>
        <v>35.5</v>
      </c>
      <c r="ED2" s="1">
        <f>(('[1]Guts-2'!$H$1*0.01)*O2)+(('[1]Guts-2'!$H$7*0.01)*AF2)+(('[1]Guts-2'!$H$3*0.01)*AW2)+(('[1]Guts-2'!$H$9*0.01)*BN2)+(('[1]Guts-2'!$H$4*0.01)*CE2)+(('[1]Guts-2'!$H$2*0.01)*CV2)+(('[1]Guts-2'!$H$8*0.01)*DM2)</f>
        <v>63</v>
      </c>
      <c r="EE2" s="1">
        <f t="shared" ref="EE2" si="0">DU2/DS2</f>
        <v>0.31026827012025898</v>
      </c>
      <c r="EF2" s="1">
        <f t="shared" ref="EF2" si="1">(EC2+DU2)/DS2</f>
        <v>0.37594819611470859</v>
      </c>
      <c r="EG2" s="1">
        <f t="shared" ref="EG2" si="2">((DY2*4)+(DX2*3)+(DW2*2)+(DV2))/DS2</f>
        <v>0.48196114708603144</v>
      </c>
      <c r="EH2" s="1">
        <f t="shared" ref="EH2" si="3">EG2+EF2</f>
        <v>0.85790934320074008</v>
      </c>
      <c r="EI2" s="1">
        <v>608</v>
      </c>
      <c r="EJ2" s="1">
        <v>583</v>
      </c>
      <c r="EK2" s="1">
        <v>79.514363210449346</v>
      </c>
      <c r="EL2" s="1">
        <v>181.19768332594941</v>
      </c>
      <c r="EM2" s="1">
        <v>117.13939729623561</v>
      </c>
      <c r="EN2" s="1">
        <v>42.049112055197043</v>
      </c>
      <c r="EO2" s="1">
        <v>3.6369738593328296</v>
      </c>
      <c r="EP2" s="1">
        <v>18.372200115183908</v>
      </c>
      <c r="EQ2" s="1">
        <v>85.084991513395778</v>
      </c>
      <c r="ER2" s="1">
        <v>7.4630865680351661</v>
      </c>
      <c r="ES2" s="1">
        <v>3.1927982345225145</v>
      </c>
      <c r="ET2" s="1">
        <v>36.938264312647036</v>
      </c>
      <c r="EU2" s="1">
        <v>59.511775509738911</v>
      </c>
      <c r="EV2" s="1">
        <v>0.31080220124519625</v>
      </c>
      <c r="EW2" s="1">
        <v>0.35877622966874417</v>
      </c>
      <c r="EX2" s="1">
        <v>0.48994398532652461</v>
      </c>
      <c r="EY2" s="1">
        <v>0.84872021499526884</v>
      </c>
      <c r="EZ2">
        <f t="shared" ref="EZ2:FP2" si="4">IFERROR(EI2,T2)</f>
        <v>608</v>
      </c>
      <c r="FA2">
        <f t="shared" si="4"/>
        <v>583</v>
      </c>
      <c r="FB2">
        <f t="shared" si="4"/>
        <v>79.514363210449346</v>
      </c>
      <c r="FC2">
        <f t="shared" si="4"/>
        <v>181.19768332594941</v>
      </c>
      <c r="FD2">
        <f t="shared" si="4"/>
        <v>117.13939729623561</v>
      </c>
      <c r="FE2">
        <f t="shared" si="4"/>
        <v>42.049112055197043</v>
      </c>
      <c r="FF2">
        <f t="shared" si="4"/>
        <v>3.6369738593328296</v>
      </c>
      <c r="FG2">
        <f t="shared" si="4"/>
        <v>18.372200115183908</v>
      </c>
      <c r="FH2">
        <f t="shared" si="4"/>
        <v>85.084991513395778</v>
      </c>
      <c r="FI2">
        <f t="shared" si="4"/>
        <v>7.4630865680351661</v>
      </c>
      <c r="FJ2">
        <f t="shared" si="4"/>
        <v>3.1927982345225145</v>
      </c>
      <c r="FK2">
        <f t="shared" si="4"/>
        <v>36.938264312647036</v>
      </c>
      <c r="FL2">
        <f t="shared" si="4"/>
        <v>59.511775509738911</v>
      </c>
      <c r="FM2">
        <f t="shared" si="4"/>
        <v>0.31080220124519625</v>
      </c>
      <c r="FN2">
        <f t="shared" si="4"/>
        <v>0.35877622966874417</v>
      </c>
      <c r="FO2">
        <f t="shared" si="4"/>
        <v>0.48994398532652461</v>
      </c>
      <c r="FP2">
        <f t="shared" si="4"/>
        <v>0.84872021499526884</v>
      </c>
      <c r="FQ2" s="1" t="e">
        <f>VLOOKUP($A2,'[1]Import (Projections)'!$B$2:$N$8997,COLUMN(#REF!),FALSE)</f>
        <v>#REF!</v>
      </c>
      <c r="FR2" s="1" t="e">
        <f>VLOOKUP($A2,'[1]Import (Projections)'!$B$2:$N$8997,COLUMN(#REF!),FALSE)</f>
        <v>#REF!</v>
      </c>
      <c r="FS2" s="1" t="e">
        <f>VLOOKUP($A2,'[1]Import (Projections)'!$B$2:$N$8997,COLUMN(#REF!),FALSE)</f>
        <v>#REF!</v>
      </c>
      <c r="FT2" s="1" t="e">
        <f>VLOOKUP($A2,'[1]Import (Projections)'!$B$2:$N$8997,COLUMN(#REF!),FALSE)</f>
        <v>#REF!</v>
      </c>
      <c r="FU2" s="1" t="e">
        <f t="shared" ref="FU2" si="5">FT2-FV2-FW2-FX2</f>
        <v>#REF!</v>
      </c>
      <c r="FV2" s="1" t="e">
        <f>VLOOKUP($A2,'[1]Import (Projections)'!$B$2:$N$8997,COLUMN(#REF!),FALSE)</f>
        <v>#REF!</v>
      </c>
      <c r="FW2" s="1" t="e">
        <f>VLOOKUP($A2,'[1]Import (Projections)'!$B$2:$N$8997,COLUMN(#REF!),FALSE)</f>
        <v>#REF!</v>
      </c>
      <c r="FX2" s="1" t="e">
        <f>VLOOKUP($A2,'[1]Import (Projections)'!$B$2:$N$8997,COLUMN(#REF!),FALSE)</f>
        <v>#REF!</v>
      </c>
      <c r="FY2" s="1" t="e">
        <f>VLOOKUP($A2,'[1]Import (Projections)'!$B$2:$N$8997,COLUMN(#REF!),FALSE)</f>
        <v>#REF!</v>
      </c>
      <c r="FZ2" s="1" t="e">
        <f>VLOOKUP($A2,'[1]Import (Projections)'!$B$2:$N$8997,COLUMN(#REF!),FALSE)</f>
        <v>#REF!</v>
      </c>
      <c r="GA2" s="1" t="e">
        <f>VLOOKUP($A2,'[1]Import (Projections)'!$B$2:$N$8997,COLUMN(#REF!),FALSE)</f>
        <v>#REF!</v>
      </c>
      <c r="GB2" s="1" t="e">
        <f>VLOOKUP($A2,'[1]Import (Projections)'!$B$2:$N$8997,COLUMN(#REF!),FALSE)</f>
        <v>#REF!</v>
      </c>
      <c r="GC2" s="1" t="e">
        <f>VLOOKUP($A2,'[1]Import (Projections)'!$B$2:$N$8997,COLUMN(#REF!),FALSE)</f>
        <v>#REF!</v>
      </c>
      <c r="GD2" s="1" t="e">
        <f t="shared" ref="GD2" si="6">FT2/FR2</f>
        <v>#REF!</v>
      </c>
      <c r="GE2" s="1" t="e">
        <f t="shared" ref="GE2" si="7">(FT2+GB2)/FQ2</f>
        <v>#REF!</v>
      </c>
      <c r="GF2" s="1" t="e">
        <f t="shared" ref="GF2" si="8">(FU2+(FV2*2)+(FW2*3)+(FX2*4))/FR2</f>
        <v>#REF!</v>
      </c>
      <c r="GG2" s="1" t="e">
        <f t="shared" ref="GG2" si="9">GE2+GF2</f>
        <v>#REF!</v>
      </c>
      <c r="GH2" s="1">
        <v>1.8900343642611683E-2</v>
      </c>
      <c r="GI2" s="1">
        <v>1.864406779661017E-2</v>
      </c>
      <c r="GJ2" s="1">
        <f t="shared" ref="GJ2" si="10">IFERROR(AVERAGE(GK2:GM2),IFERROR(GM2,IFERROR(GK2,IFERROR(GL2,0))))</f>
        <v>6.8008518846886246E-3</v>
      </c>
      <c r="GK2" s="1">
        <v>8.4745762711864406E-3</v>
      </c>
      <c r="GL2" s="1">
        <v>5.1020408163265302E-3</v>
      </c>
      <c r="GM2" s="1">
        <v>6.8259385665529011E-3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W8"/>
  <sheetViews>
    <sheetView workbookViewId="0">
      <selection activeCell="I14" sqref="I14"/>
    </sheetView>
  </sheetViews>
  <sheetFormatPr defaultRowHeight="15" x14ac:dyDescent="0.25"/>
  <cols>
    <col min="173" max="173" width="12" bestFit="1" customWidth="1"/>
    <col min="174" max="174" width="19.5703125" bestFit="1" customWidth="1"/>
    <col min="175" max="175" width="11.140625" bestFit="1" customWidth="1"/>
  </cols>
  <sheetData>
    <row r="1" spans="1:179" x14ac:dyDescent="0.25">
      <c r="A1" t="s">
        <v>2</v>
      </c>
      <c r="B1" t="s">
        <v>3</v>
      </c>
      <c r="C1" s="1" t="s">
        <v>163</v>
      </c>
      <c r="D1" s="1" t="s">
        <v>164</v>
      </c>
      <c r="E1" s="1" t="s">
        <v>165</v>
      </c>
      <c r="F1" s="1" t="s">
        <v>7</v>
      </c>
      <c r="G1" s="1" t="s">
        <v>15</v>
      </c>
      <c r="H1" s="1" t="s">
        <v>166</v>
      </c>
      <c r="I1" s="1" t="s">
        <v>167</v>
      </c>
      <c r="J1" s="1" t="s">
        <v>168</v>
      </c>
      <c r="K1" s="1" t="s">
        <v>169</v>
      </c>
      <c r="L1" s="1" t="s">
        <v>170</v>
      </c>
      <c r="M1" s="1" t="s">
        <v>171</v>
      </c>
      <c r="N1" s="1" t="s">
        <v>172</v>
      </c>
      <c r="O1" s="1" t="s">
        <v>173</v>
      </c>
      <c r="P1" s="1" t="s">
        <v>174</v>
      </c>
      <c r="Q1" s="1" t="s">
        <v>175</v>
      </c>
      <c r="R1" s="1" t="s">
        <v>176</v>
      </c>
      <c r="S1" s="1" t="s">
        <v>177</v>
      </c>
      <c r="T1" s="1" t="s">
        <v>178</v>
      </c>
      <c r="U1" s="1" t="s">
        <v>24</v>
      </c>
      <c r="V1" s="1" t="s">
        <v>32</v>
      </c>
      <c r="W1" s="1" t="s">
        <v>179</v>
      </c>
      <c r="X1" s="1" t="s">
        <v>180</v>
      </c>
      <c r="Y1" s="1" t="s">
        <v>181</v>
      </c>
      <c r="Z1" s="1" t="s">
        <v>182</v>
      </c>
      <c r="AA1" s="1" t="s">
        <v>183</v>
      </c>
      <c r="AB1" s="1" t="s">
        <v>184</v>
      </c>
      <c r="AC1" s="1" t="s">
        <v>185</v>
      </c>
      <c r="AD1" s="1" t="s">
        <v>186</v>
      </c>
      <c r="AE1" s="1" t="s">
        <v>187</v>
      </c>
      <c r="AF1" s="1" t="s">
        <v>188</v>
      </c>
      <c r="AG1" s="1" t="s">
        <v>189</v>
      </c>
      <c r="AH1" s="1" t="s">
        <v>190</v>
      </c>
      <c r="AI1" s="1" t="s">
        <v>191</v>
      </c>
      <c r="AJ1" s="1" t="s">
        <v>41</v>
      </c>
      <c r="AK1" s="1" t="s">
        <v>49</v>
      </c>
      <c r="AL1" s="1" t="s">
        <v>192</v>
      </c>
      <c r="AM1" s="1" t="s">
        <v>193</v>
      </c>
      <c r="AN1" s="1" t="s">
        <v>194</v>
      </c>
      <c r="AO1" s="1" t="s">
        <v>195</v>
      </c>
      <c r="AP1" s="1" t="s">
        <v>196</v>
      </c>
      <c r="AQ1" s="1" t="s">
        <v>197</v>
      </c>
      <c r="AR1" s="1" t="s">
        <v>198</v>
      </c>
      <c r="AS1" s="1" t="s">
        <v>199</v>
      </c>
      <c r="AT1" s="1" t="s">
        <v>200</v>
      </c>
      <c r="AU1" s="1" t="s">
        <v>201</v>
      </c>
      <c r="AV1" s="1" t="s">
        <v>202</v>
      </c>
      <c r="AW1" s="1" t="s">
        <v>203</v>
      </c>
      <c r="AX1" s="1" t="s">
        <v>204</v>
      </c>
      <c r="AY1" s="1" t="s">
        <v>58</v>
      </c>
      <c r="AZ1" s="1" t="s">
        <v>66</v>
      </c>
      <c r="BA1" s="1" t="s">
        <v>205</v>
      </c>
      <c r="BB1" s="1" t="s">
        <v>206</v>
      </c>
      <c r="BC1" s="1" t="s">
        <v>207</v>
      </c>
      <c r="BD1" s="1" t="s">
        <v>208</v>
      </c>
      <c r="BE1" s="1" t="s">
        <v>209</v>
      </c>
      <c r="BF1" s="1" t="s">
        <v>210</v>
      </c>
      <c r="BG1" s="1" t="s">
        <v>211</v>
      </c>
      <c r="BH1" s="1" t="s">
        <v>212</v>
      </c>
      <c r="BI1" s="1" t="s">
        <v>213</v>
      </c>
      <c r="BJ1" s="1" t="s">
        <v>214</v>
      </c>
      <c r="BK1" s="1" t="s">
        <v>215</v>
      </c>
      <c r="BL1" s="1" t="s">
        <v>216</v>
      </c>
      <c r="BM1" s="1" t="s">
        <v>217</v>
      </c>
      <c r="BN1" s="1" t="s">
        <v>75</v>
      </c>
      <c r="BO1" s="1" t="s">
        <v>83</v>
      </c>
      <c r="BP1" s="1" t="s">
        <v>218</v>
      </c>
      <c r="BQ1" s="1" t="s">
        <v>219</v>
      </c>
      <c r="BR1" s="1" t="s">
        <v>220</v>
      </c>
      <c r="BS1" s="1" t="s">
        <v>221</v>
      </c>
      <c r="BT1" s="1" t="s">
        <v>222</v>
      </c>
      <c r="BU1" s="1" t="s">
        <v>223</v>
      </c>
      <c r="BV1" s="1" t="s">
        <v>224</v>
      </c>
      <c r="BW1" s="1" t="s">
        <v>225</v>
      </c>
      <c r="BX1" s="1" t="s">
        <v>226</v>
      </c>
      <c r="BY1" s="1" t="s">
        <v>227</v>
      </c>
      <c r="BZ1" s="1" t="s">
        <v>228</v>
      </c>
      <c r="CA1" s="1" t="s">
        <v>229</v>
      </c>
      <c r="CB1" s="1" t="s">
        <v>230</v>
      </c>
      <c r="CC1" s="1" t="s">
        <v>92</v>
      </c>
      <c r="CD1" s="1" t="s">
        <v>100</v>
      </c>
      <c r="CE1" s="1" t="s">
        <v>231</v>
      </c>
      <c r="CF1" s="1" t="s">
        <v>232</v>
      </c>
      <c r="CG1" s="1" t="s">
        <v>233</v>
      </c>
      <c r="CH1" s="1" t="s">
        <v>234</v>
      </c>
      <c r="CI1" s="1" t="s">
        <v>235</v>
      </c>
      <c r="CJ1" s="1" t="s">
        <v>236</v>
      </c>
      <c r="CK1" s="1" t="s">
        <v>237</v>
      </c>
      <c r="CL1" s="1" t="s">
        <v>238</v>
      </c>
      <c r="CM1" s="1" t="s">
        <v>239</v>
      </c>
      <c r="CN1" s="1" t="s">
        <v>240</v>
      </c>
      <c r="CO1" s="1" t="s">
        <v>241</v>
      </c>
      <c r="CP1" s="1" t="s">
        <v>242</v>
      </c>
      <c r="CQ1" s="1" t="s">
        <v>243</v>
      </c>
      <c r="CR1" s="1" t="s">
        <v>109</v>
      </c>
      <c r="CS1" s="1" t="s">
        <v>117</v>
      </c>
      <c r="CT1" s="1" t="s">
        <v>244</v>
      </c>
      <c r="CU1" s="1" t="s">
        <v>245</v>
      </c>
      <c r="CV1" s="1" t="s">
        <v>246</v>
      </c>
      <c r="CW1" s="1" t="s">
        <v>247</v>
      </c>
      <c r="CX1" s="1" t="s">
        <v>248</v>
      </c>
      <c r="CY1" s="1" t="s">
        <v>249</v>
      </c>
      <c r="CZ1" s="1" t="s">
        <v>250</v>
      </c>
      <c r="DA1" s="1" t="s">
        <v>251</v>
      </c>
      <c r="DB1" s="1" t="s">
        <v>252</v>
      </c>
      <c r="DC1" s="1" t="s">
        <v>253</v>
      </c>
      <c r="DD1" s="1" t="s">
        <v>254</v>
      </c>
      <c r="DE1" s="1" t="s">
        <v>255</v>
      </c>
      <c r="DF1" s="1" t="s">
        <v>256</v>
      </c>
      <c r="DG1" s="1" t="s">
        <v>126</v>
      </c>
      <c r="DH1" s="1" t="s">
        <v>134</v>
      </c>
      <c r="DI1" s="1" t="s">
        <v>257</v>
      </c>
      <c r="DJ1" s="1" t="s">
        <v>258</v>
      </c>
      <c r="DK1" s="1" t="s">
        <v>259</v>
      </c>
      <c r="DL1" s="1" t="s">
        <v>260</v>
      </c>
      <c r="DM1" s="1" t="s">
        <v>261</v>
      </c>
      <c r="DN1" s="1" t="s">
        <v>262</v>
      </c>
      <c r="DO1" s="1" t="s">
        <v>263</v>
      </c>
      <c r="DP1" s="1" t="s">
        <v>264</v>
      </c>
      <c r="DQ1" s="2" t="s">
        <v>265</v>
      </c>
      <c r="DR1" s="2" t="s">
        <v>266</v>
      </c>
      <c r="DS1" s="1" t="s">
        <v>267</v>
      </c>
      <c r="DT1" s="1" t="s">
        <v>268</v>
      </c>
      <c r="DU1" s="1" t="s">
        <v>269</v>
      </c>
      <c r="DV1" s="1" t="s">
        <v>143</v>
      </c>
      <c r="DW1" s="1" t="s">
        <v>151</v>
      </c>
      <c r="DX1" s="1" t="s">
        <v>270</v>
      </c>
      <c r="DY1" s="1" t="s">
        <v>271</v>
      </c>
      <c r="DZ1" s="1" t="s">
        <v>272</v>
      </c>
      <c r="EA1" s="1" t="s">
        <v>273</v>
      </c>
      <c r="EB1" s="1" t="s">
        <v>274</v>
      </c>
      <c r="EC1" s="1" t="s">
        <v>275</v>
      </c>
      <c r="ED1" s="1" t="s">
        <v>276</v>
      </c>
      <c r="EE1" s="1" t="s">
        <v>277</v>
      </c>
      <c r="EF1" s="1" t="s">
        <v>278</v>
      </c>
      <c r="EG1" s="1" t="s">
        <v>279</v>
      </c>
      <c r="EH1" t="s">
        <v>254</v>
      </c>
      <c r="EI1" t="s">
        <v>255</v>
      </c>
      <c r="EJ1" t="s">
        <v>256</v>
      </c>
      <c r="EK1" t="s">
        <v>126</v>
      </c>
      <c r="EL1" t="s">
        <v>134</v>
      </c>
      <c r="EM1" t="s">
        <v>257</v>
      </c>
      <c r="EN1" t="s">
        <v>258</v>
      </c>
      <c r="EO1" t="s">
        <v>259</v>
      </c>
      <c r="EP1" t="s">
        <v>260</v>
      </c>
      <c r="EQ1" t="s">
        <v>261</v>
      </c>
      <c r="ER1" t="s">
        <v>262</v>
      </c>
      <c r="ES1" t="s">
        <v>263</v>
      </c>
      <c r="ET1" t="s">
        <v>264</v>
      </c>
      <c r="EU1" t="s">
        <v>265</v>
      </c>
      <c r="EV1" t="s">
        <v>266</v>
      </c>
      <c r="EW1" s="1" t="s">
        <v>254</v>
      </c>
      <c r="EX1" s="1" t="s">
        <v>255</v>
      </c>
      <c r="EY1" s="1" t="s">
        <v>256</v>
      </c>
      <c r="EZ1" s="1" t="s">
        <v>126</v>
      </c>
      <c r="FA1" s="1" t="s">
        <v>134</v>
      </c>
      <c r="FB1" s="1" t="s">
        <v>257</v>
      </c>
      <c r="FC1" s="1" t="s">
        <v>258</v>
      </c>
      <c r="FD1" s="1" t="s">
        <v>259</v>
      </c>
      <c r="FE1" s="1" t="s">
        <v>260</v>
      </c>
      <c r="FF1" s="1" t="s">
        <v>261</v>
      </c>
      <c r="FG1" s="1" t="s">
        <v>262</v>
      </c>
      <c r="FH1" s="1" t="s">
        <v>263</v>
      </c>
      <c r="FI1" s="1" t="s">
        <v>264</v>
      </c>
      <c r="FJ1" s="2" t="s">
        <v>265</v>
      </c>
      <c r="FK1" s="2" t="s">
        <v>266</v>
      </c>
      <c r="FL1" s="1" t="s">
        <v>280</v>
      </c>
      <c r="FM1" s="1" t="s">
        <v>135</v>
      </c>
      <c r="FN1" s="1" t="s">
        <v>281</v>
      </c>
      <c r="FO1" s="1" t="s">
        <v>282</v>
      </c>
      <c r="FP1" s="1" t="s">
        <v>283</v>
      </c>
      <c r="FQ1" s="1" t="s">
        <v>284</v>
      </c>
      <c r="FR1" s="1" t="s">
        <v>285</v>
      </c>
      <c r="FS1" s="1" t="s">
        <v>284</v>
      </c>
      <c r="FT1" s="1" t="s">
        <v>283</v>
      </c>
      <c r="FU1" s="1" t="s">
        <v>286</v>
      </c>
      <c r="FV1" s="1" t="s">
        <v>287</v>
      </c>
      <c r="FW1" s="1" t="s">
        <v>287</v>
      </c>
    </row>
    <row r="2" spans="1:179" x14ac:dyDescent="0.25">
      <c r="A2" t="s">
        <v>161</v>
      </c>
      <c r="B2" t="s">
        <v>162</v>
      </c>
      <c r="C2" s="1">
        <v>3.9206587036820904</v>
      </c>
      <c r="D2" s="1">
        <v>2.7075033786662814</v>
      </c>
      <c r="E2" s="1">
        <v>70.42380952380951</v>
      </c>
      <c r="F2" s="1">
        <v>64.503972970137966</v>
      </c>
      <c r="G2" s="1">
        <v>23.01313397453951</v>
      </c>
      <c r="H2" s="1">
        <v>58.722974842989622</v>
      </c>
      <c r="I2" s="1">
        <v>24.744543008167589</v>
      </c>
      <c r="J2" s="1">
        <v>17.767322530681032</v>
      </c>
      <c r="K2" s="1">
        <v>3.1622953739560993</v>
      </c>
      <c r="L2" s="1">
        <v>1.2427204312923303</v>
      </c>
      <c r="M2" s="1">
        <v>7.5046603863175605</v>
      </c>
      <c r="N2" s="1">
        <v>0</v>
      </c>
      <c r="O2" s="1">
        <v>0</v>
      </c>
      <c r="P2" s="1">
        <v>67.706251136158855</v>
      </c>
      <c r="Q2" s="1">
        <v>4.6955734466089041</v>
      </c>
      <c r="R2" s="1">
        <v>3</v>
      </c>
      <c r="S2" s="1">
        <v>3</v>
      </c>
      <c r="T2" s="1">
        <v>65</v>
      </c>
      <c r="U2" s="1">
        <v>64</v>
      </c>
      <c r="V2" s="1">
        <v>23</v>
      </c>
      <c r="W2" s="1">
        <v>56</v>
      </c>
      <c r="X2" s="1">
        <v>26</v>
      </c>
      <c r="Y2" s="1">
        <v>34</v>
      </c>
      <c r="Z2" s="1">
        <v>3.64</v>
      </c>
      <c r="AA2" s="1">
        <v>1.35</v>
      </c>
      <c r="AB2" s="1">
        <v>7.79</v>
      </c>
      <c r="AC2" s="1">
        <v>0</v>
      </c>
      <c r="AD2" s="1">
        <v>0</v>
      </c>
      <c r="AE2" s="1">
        <v>65</v>
      </c>
      <c r="AF2" s="1">
        <v>5</v>
      </c>
      <c r="AG2" s="1">
        <v>4</v>
      </c>
      <c r="AH2" s="1">
        <v>4</v>
      </c>
      <c r="AI2" s="1">
        <v>69</v>
      </c>
      <c r="AJ2" s="1">
        <v>62</v>
      </c>
      <c r="AK2" s="1">
        <v>19</v>
      </c>
      <c r="AL2" s="1">
        <v>61</v>
      </c>
      <c r="AM2" s="1">
        <v>19</v>
      </c>
      <c r="AN2" s="1">
        <v>41</v>
      </c>
      <c r="AO2" s="1">
        <v>2.5</v>
      </c>
      <c r="AP2" s="1">
        <v>1.17</v>
      </c>
      <c r="AQ2" s="1">
        <v>7.96</v>
      </c>
      <c r="AR2" s="1">
        <v>0</v>
      </c>
      <c r="AS2" s="1">
        <v>0</v>
      </c>
      <c r="AT2" s="1">
        <v>69</v>
      </c>
      <c r="AU2" s="1">
        <v>5</v>
      </c>
      <c r="AV2" s="1">
        <v>4</v>
      </c>
      <c r="AW2" s="1">
        <v>3</v>
      </c>
      <c r="AX2" s="1">
        <v>70.3</v>
      </c>
      <c r="AY2" s="1">
        <v>69</v>
      </c>
      <c r="AZ2" s="1">
        <v>20</v>
      </c>
      <c r="BA2" s="1">
        <v>61</v>
      </c>
      <c r="BB2" s="1">
        <v>27</v>
      </c>
      <c r="BC2" s="1">
        <v>36.772307692307692</v>
      </c>
      <c r="BD2" s="1">
        <v>3.45</v>
      </c>
      <c r="BE2" s="1">
        <v>1.27</v>
      </c>
      <c r="BF2" s="1">
        <v>7.81</v>
      </c>
      <c r="BG2" s="1">
        <v>0</v>
      </c>
      <c r="BH2" s="1">
        <v>0</v>
      </c>
      <c r="BI2" s="1">
        <v>73</v>
      </c>
      <c r="BJ2" s="1">
        <v>7</v>
      </c>
      <c r="BK2" s="1">
        <v>4</v>
      </c>
      <c r="BL2" s="1">
        <v>3</v>
      </c>
      <c r="BM2" s="1">
        <v>65</v>
      </c>
      <c r="BN2" s="1">
        <v>64</v>
      </c>
      <c r="BO2" s="1">
        <v>21</v>
      </c>
      <c r="BP2" s="1">
        <v>56</v>
      </c>
      <c r="BQ2" s="1">
        <v>26</v>
      </c>
      <c r="BR2" s="1">
        <v>32</v>
      </c>
      <c r="BS2" s="1">
        <v>3.55</v>
      </c>
      <c r="BT2" s="1">
        <v>1.31</v>
      </c>
      <c r="BU2" s="1">
        <v>7.8</v>
      </c>
      <c r="BV2" s="1">
        <v>0</v>
      </c>
      <c r="BW2" s="1">
        <v>0</v>
      </c>
      <c r="BX2" s="1">
        <v>65</v>
      </c>
      <c r="BY2" s="1">
        <v>6</v>
      </c>
      <c r="BZ2" s="1">
        <v>4</v>
      </c>
      <c r="CA2" s="1">
        <v>3</v>
      </c>
      <c r="CB2" s="1">
        <v>80.3</v>
      </c>
      <c r="CC2" s="1">
        <v>80</v>
      </c>
      <c r="CD2" s="1">
        <v>28</v>
      </c>
      <c r="CE2" s="1">
        <v>65</v>
      </c>
      <c r="CF2" s="1">
        <v>33</v>
      </c>
      <c r="CG2" s="1">
        <v>32</v>
      </c>
      <c r="CH2" s="1">
        <v>3.73</v>
      </c>
      <c r="CI2" s="1">
        <v>1.34</v>
      </c>
      <c r="CJ2" s="1">
        <v>7.2851805728518055</v>
      </c>
      <c r="CK2" s="1">
        <v>0</v>
      </c>
      <c r="CL2" s="1">
        <v>0</v>
      </c>
      <c r="CM2" s="1">
        <v>80</v>
      </c>
      <c r="CN2" s="1">
        <v>8</v>
      </c>
      <c r="CO2" s="1">
        <v>3</v>
      </c>
      <c r="CP2" s="1">
        <v>3</v>
      </c>
      <c r="CQ2" s="1">
        <v>65</v>
      </c>
      <c r="CR2" s="1">
        <v>62</v>
      </c>
      <c r="CS2" s="1">
        <v>23</v>
      </c>
      <c r="CT2" s="1">
        <v>56</v>
      </c>
      <c r="CU2" s="1">
        <v>26</v>
      </c>
      <c r="CV2" s="1">
        <v>34</v>
      </c>
      <c r="CW2" s="1">
        <v>3.64</v>
      </c>
      <c r="CX2" s="1">
        <v>1.32</v>
      </c>
      <c r="CY2" s="1">
        <v>7.78</v>
      </c>
      <c r="CZ2" s="1">
        <v>0</v>
      </c>
      <c r="DA2" s="1">
        <v>0</v>
      </c>
      <c r="DB2" s="1">
        <v>65</v>
      </c>
      <c r="DC2" s="1">
        <v>5</v>
      </c>
      <c r="DD2" s="1">
        <v>3.5999999999999996</v>
      </c>
      <c r="DE2" s="1">
        <v>3.0000000000000004</v>
      </c>
      <c r="DF2" s="1">
        <v>69.12</v>
      </c>
      <c r="DG2" s="1">
        <v>68.2</v>
      </c>
      <c r="DH2" s="1">
        <v>23.000000000000004</v>
      </c>
      <c r="DI2" s="1">
        <v>58.800000000000004</v>
      </c>
      <c r="DJ2" s="1">
        <v>27.6</v>
      </c>
      <c r="DK2" s="1">
        <v>33.754461538461541</v>
      </c>
      <c r="DL2">
        <v>3.5937499999999996</v>
      </c>
      <c r="DM2">
        <v>1.3194444444444444</v>
      </c>
      <c r="DN2">
        <v>7.65625</v>
      </c>
      <c r="DO2" s="1">
        <v>0</v>
      </c>
      <c r="DP2" s="1">
        <v>0</v>
      </c>
      <c r="DQ2" s="1">
        <v>69.599999999999994</v>
      </c>
      <c r="DR2" s="1">
        <v>6.2000000000000011</v>
      </c>
      <c r="DS2" s="1">
        <v>3.3522726231481443</v>
      </c>
      <c r="DT2" s="1">
        <v>3.660006485979026</v>
      </c>
      <c r="DU2" s="1">
        <v>70</v>
      </c>
      <c r="DV2" s="1">
        <v>67.627763626385573</v>
      </c>
      <c r="DW2" s="1">
        <v>22.485968603539774</v>
      </c>
      <c r="DX2" s="1">
        <v>61.156606129424496</v>
      </c>
      <c r="DY2" s="1">
        <v>24.510144927536231</v>
      </c>
      <c r="DZ2" s="1">
        <v>35</v>
      </c>
      <c r="EA2" s="1">
        <v>3.1513043478260871</v>
      </c>
      <c r="EB2" s="1">
        <v>1.2873390318560765</v>
      </c>
      <c r="EC2" s="1">
        <v>7.8629922166402926</v>
      </c>
      <c r="ED2" s="1">
        <v>0</v>
      </c>
      <c r="EE2" s="1">
        <v>0</v>
      </c>
      <c r="EF2" s="1">
        <v>70</v>
      </c>
      <c r="EG2" s="1">
        <v>5.4633747325375897</v>
      </c>
      <c r="EH2">
        <v>3.3522726231481443</v>
      </c>
      <c r="EI2">
        <v>3.660006485979026</v>
      </c>
      <c r="EJ2">
        <v>70</v>
      </c>
      <c r="EK2">
        <v>67.627763626385573</v>
      </c>
      <c r="EL2">
        <v>22.485968603539774</v>
      </c>
      <c r="EM2">
        <v>61.156606129424496</v>
      </c>
      <c r="EN2">
        <v>24.510144927536231</v>
      </c>
      <c r="EO2">
        <v>35</v>
      </c>
      <c r="EP2">
        <v>3.1513043478260871</v>
      </c>
      <c r="EQ2">
        <v>1.2873390318560765</v>
      </c>
      <c r="ER2">
        <v>7.8629922166402926</v>
      </c>
      <c r="ES2">
        <v>0</v>
      </c>
      <c r="ET2">
        <v>0</v>
      </c>
      <c r="EU2">
        <v>70</v>
      </c>
      <c r="EV2">
        <v>5.4633747325375897</v>
      </c>
      <c r="EW2" s="1" t="e">
        <v>#N/A</v>
      </c>
      <c r="EX2" s="1" t="e">
        <v>#N/A</v>
      </c>
      <c r="EY2" s="1" t="e">
        <v>#N/A</v>
      </c>
      <c r="EZ2" s="1" t="e">
        <v>#N/A</v>
      </c>
      <c r="FA2" s="1" t="e">
        <v>#N/A</v>
      </c>
      <c r="FB2" s="1" t="e">
        <v>#N/A</v>
      </c>
      <c r="FC2" s="1" t="e">
        <v>#N/A</v>
      </c>
      <c r="FD2" s="1" t="e">
        <v>#N/A</v>
      </c>
      <c r="FE2" s="1" t="e">
        <v>#N/A</v>
      </c>
      <c r="FF2" s="1" t="e">
        <v>#N/A</v>
      </c>
      <c r="FG2" s="1" t="e">
        <v>#N/A</v>
      </c>
      <c r="FH2" s="1" t="e">
        <v>#N/A</v>
      </c>
      <c r="FI2" s="1" t="e">
        <v>#N/A</v>
      </c>
      <c r="FJ2" s="1"/>
      <c r="FK2" s="1"/>
      <c r="FL2" s="1">
        <v>0</v>
      </c>
      <c r="FM2" s="1">
        <v>0</v>
      </c>
      <c r="FN2" s="1">
        <v>8</v>
      </c>
      <c r="FO2" s="1">
        <v>0.2447528888740241</v>
      </c>
      <c r="FP2" s="1">
        <v>0</v>
      </c>
      <c r="FQ2" s="1">
        <v>0</v>
      </c>
      <c r="FR2" s="1">
        <v>0.47238445140897062</v>
      </c>
      <c r="FS2" s="1">
        <v>0</v>
      </c>
      <c r="FT2" s="1">
        <v>0</v>
      </c>
      <c r="FU2" s="1">
        <v>2</v>
      </c>
      <c r="FV2" s="1">
        <v>12</v>
      </c>
      <c r="FW2" s="1">
        <v>4</v>
      </c>
    </row>
    <row r="3" spans="1:179" x14ac:dyDescent="0.25">
      <c r="A3" t="s">
        <v>288</v>
      </c>
      <c r="B3" t="s">
        <v>289</v>
      </c>
      <c r="C3" s="1">
        <v>8.0641104793027374</v>
      </c>
      <c r="D3" s="1">
        <v>10.397796478479638</v>
      </c>
      <c r="E3" s="1">
        <v>148.63809523809525</v>
      </c>
      <c r="F3" s="1">
        <v>150.81704929241033</v>
      </c>
      <c r="G3" s="1">
        <v>47.519710782703633</v>
      </c>
      <c r="H3" s="1">
        <v>114.96297813057875</v>
      </c>
      <c r="I3" s="1">
        <v>75.873693873136332</v>
      </c>
      <c r="J3" s="1">
        <v>0</v>
      </c>
      <c r="K3" s="1">
        <v>4.594133447178435</v>
      </c>
      <c r="L3" s="1">
        <v>1.3343602106674548</v>
      </c>
      <c r="M3" s="1">
        <v>6.9609799662585319</v>
      </c>
      <c r="N3" s="1">
        <v>11</v>
      </c>
      <c r="O3" s="1">
        <v>26.302104640446313</v>
      </c>
      <c r="P3" s="1">
        <v>31.444961783303455</v>
      </c>
      <c r="Q3" s="1">
        <v>18.330727346636134</v>
      </c>
      <c r="R3" s="1">
        <v>7</v>
      </c>
      <c r="S3" s="1">
        <v>6</v>
      </c>
      <c r="T3" s="1">
        <v>106</v>
      </c>
      <c r="U3" s="1">
        <v>103</v>
      </c>
      <c r="V3" s="1">
        <v>36</v>
      </c>
      <c r="W3" s="1">
        <v>98</v>
      </c>
      <c r="X3" s="1">
        <v>48</v>
      </c>
      <c r="Y3" s="1">
        <v>0</v>
      </c>
      <c r="Z3" s="1">
        <v>4.09</v>
      </c>
      <c r="AA3" s="1">
        <v>1.31</v>
      </c>
      <c r="AB3" s="1">
        <v>8.31</v>
      </c>
      <c r="AC3" s="1">
        <v>9</v>
      </c>
      <c r="AD3" s="1">
        <v>19</v>
      </c>
      <c r="AE3" s="1">
        <v>19</v>
      </c>
      <c r="AF3" s="1">
        <v>14</v>
      </c>
      <c r="AG3" s="1">
        <v>9</v>
      </c>
      <c r="AH3" s="1">
        <v>8</v>
      </c>
      <c r="AI3" s="1">
        <v>147</v>
      </c>
      <c r="AJ3" s="1">
        <v>134</v>
      </c>
      <c r="AK3" s="1">
        <v>46</v>
      </c>
      <c r="AL3" s="1">
        <v>145</v>
      </c>
      <c r="AM3" s="1">
        <v>66</v>
      </c>
      <c r="AN3" s="1">
        <v>0</v>
      </c>
      <c r="AO3" s="1">
        <v>4.0199999999999996</v>
      </c>
      <c r="AP3" s="1">
        <v>1.22</v>
      </c>
      <c r="AQ3" s="1">
        <v>8.8800000000000008</v>
      </c>
      <c r="AR3" s="1">
        <v>13</v>
      </c>
      <c r="AS3" s="1">
        <v>26</v>
      </c>
      <c r="AT3" s="1">
        <v>27</v>
      </c>
      <c r="AU3" s="1">
        <v>18</v>
      </c>
      <c r="AV3" s="1">
        <v>10</v>
      </c>
      <c r="AW3" s="1">
        <v>9</v>
      </c>
      <c r="AX3" s="1">
        <v>152</v>
      </c>
      <c r="AY3" s="1">
        <v>149</v>
      </c>
      <c r="AZ3" s="1">
        <v>46</v>
      </c>
      <c r="BA3" s="1">
        <v>145</v>
      </c>
      <c r="BB3" s="1">
        <v>71</v>
      </c>
      <c r="BC3" s="1">
        <v>0</v>
      </c>
      <c r="BD3" s="1">
        <v>4.2</v>
      </c>
      <c r="BE3" s="1">
        <v>1.28</v>
      </c>
      <c r="BF3" s="1">
        <v>8.59</v>
      </c>
      <c r="BG3" s="1">
        <v>13</v>
      </c>
      <c r="BH3" s="1">
        <v>26</v>
      </c>
      <c r="BI3" s="1">
        <v>33</v>
      </c>
      <c r="BJ3" s="1">
        <v>20</v>
      </c>
      <c r="BK3" s="1">
        <v>7</v>
      </c>
      <c r="BL3" s="1">
        <v>7</v>
      </c>
      <c r="BM3" s="1">
        <v>113</v>
      </c>
      <c r="BN3" s="1">
        <v>110</v>
      </c>
      <c r="BO3" s="1">
        <v>36</v>
      </c>
      <c r="BP3" s="1">
        <v>106</v>
      </c>
      <c r="BQ3" s="1">
        <v>52</v>
      </c>
      <c r="BR3" s="1">
        <v>0</v>
      </c>
      <c r="BS3" s="1">
        <v>4.1500000000000004</v>
      </c>
      <c r="BT3" s="1">
        <v>1.3</v>
      </c>
      <c r="BU3" s="1">
        <v>8.4499999999999993</v>
      </c>
      <c r="BV3" s="1">
        <v>10</v>
      </c>
      <c r="BW3" s="1">
        <v>19</v>
      </c>
      <c r="BX3" s="1">
        <v>19</v>
      </c>
      <c r="BY3" s="1">
        <v>15</v>
      </c>
      <c r="BZ3" s="1">
        <v>8</v>
      </c>
      <c r="CA3" s="1">
        <v>10</v>
      </c>
      <c r="CB3" s="1">
        <v>136.30000000000001</v>
      </c>
      <c r="CC3" s="1">
        <v>144</v>
      </c>
      <c r="CD3" s="1">
        <v>42</v>
      </c>
      <c r="CE3" s="1">
        <v>111</v>
      </c>
      <c r="CF3" s="1">
        <v>69</v>
      </c>
      <c r="CG3" s="1">
        <v>0</v>
      </c>
      <c r="CH3" s="1">
        <v>4.59</v>
      </c>
      <c r="CI3" s="1">
        <v>1.36</v>
      </c>
      <c r="CJ3" s="1">
        <v>7.3294203961848856</v>
      </c>
      <c r="CK3" s="1">
        <v>12</v>
      </c>
      <c r="CL3" s="1">
        <v>24</v>
      </c>
      <c r="CM3" s="1">
        <v>24</v>
      </c>
      <c r="CN3" s="1">
        <v>20</v>
      </c>
      <c r="CO3" s="1">
        <v>13</v>
      </c>
      <c r="CP3" s="1">
        <v>12</v>
      </c>
      <c r="CQ3" s="1">
        <v>200</v>
      </c>
      <c r="CR3" s="1">
        <v>187</v>
      </c>
      <c r="CS3" s="1">
        <v>68</v>
      </c>
      <c r="CT3" s="1">
        <v>184</v>
      </c>
      <c r="CU3" s="1">
        <v>89</v>
      </c>
      <c r="CV3" s="1">
        <v>0</v>
      </c>
      <c r="CW3" s="1">
        <v>4.0199999999999996</v>
      </c>
      <c r="CX3" s="1">
        <v>1.27</v>
      </c>
      <c r="CY3" s="1">
        <v>8.2799999999999994</v>
      </c>
      <c r="CZ3" s="1">
        <v>19</v>
      </c>
      <c r="DA3" s="1">
        <v>32</v>
      </c>
      <c r="DB3" s="1">
        <v>32</v>
      </c>
      <c r="DC3" s="1">
        <v>26</v>
      </c>
      <c r="DD3" s="1">
        <v>7.8000000000000007</v>
      </c>
      <c r="DE3" s="1">
        <v>7.6000000000000005</v>
      </c>
      <c r="DF3" s="1">
        <v>122.66000000000001</v>
      </c>
      <c r="DG3" s="1">
        <v>121.8</v>
      </c>
      <c r="DH3" s="1">
        <v>39.200000000000003</v>
      </c>
      <c r="DI3" s="1">
        <v>111.60000000000001</v>
      </c>
      <c r="DJ3" s="1">
        <v>57.600000000000009</v>
      </c>
      <c r="DK3" s="1">
        <v>0</v>
      </c>
      <c r="DL3">
        <v>4.2263166476438938</v>
      </c>
      <c r="DM3">
        <v>1.3125713353986628</v>
      </c>
      <c r="DN3">
        <v>8.188488504810044</v>
      </c>
      <c r="DO3" s="1">
        <v>10.6</v>
      </c>
      <c r="DP3" s="1">
        <v>21.400000000000002</v>
      </c>
      <c r="DQ3" s="1">
        <v>22.8</v>
      </c>
      <c r="DR3" s="1">
        <v>16.600000000000001</v>
      </c>
      <c r="DS3" s="1">
        <v>8.1062981977907231</v>
      </c>
      <c r="DT3" s="1">
        <v>7.5483678029305068</v>
      </c>
      <c r="DU3" s="1">
        <v>138</v>
      </c>
      <c r="DV3" s="1">
        <v>135.04244812716416</v>
      </c>
      <c r="DW3" s="1">
        <v>45.923161611176496</v>
      </c>
      <c r="DX3" s="1">
        <v>131.66493767635205</v>
      </c>
      <c r="DY3" s="1">
        <v>62.278013092029262</v>
      </c>
      <c r="DZ3" s="1">
        <v>0</v>
      </c>
      <c r="EA3" s="1">
        <v>4.0616095494801696</v>
      </c>
      <c r="EB3" s="1">
        <v>1.311344998103918</v>
      </c>
      <c r="EC3" s="1">
        <v>8.5868437615012212</v>
      </c>
      <c r="ED3" s="1">
        <v>12</v>
      </c>
      <c r="EE3" s="1">
        <v>25</v>
      </c>
      <c r="EF3" s="1">
        <v>26</v>
      </c>
      <c r="EG3" s="1">
        <v>17.908189017724766</v>
      </c>
      <c r="EH3">
        <v>8.1062981977907231</v>
      </c>
      <c r="EI3">
        <v>7.5483678029305068</v>
      </c>
      <c r="EJ3">
        <v>138</v>
      </c>
      <c r="EK3">
        <v>135.04244812716416</v>
      </c>
      <c r="EL3">
        <v>45.923161611176496</v>
      </c>
      <c r="EM3">
        <v>131.66493767635205</v>
      </c>
      <c r="EN3">
        <v>62.278013092029262</v>
      </c>
      <c r="EO3">
        <v>0</v>
      </c>
      <c r="EP3">
        <v>4.0616095494801696</v>
      </c>
      <c r="EQ3">
        <v>1.311344998103918</v>
      </c>
      <c r="ER3">
        <v>8.5868437615012212</v>
      </c>
      <c r="ES3">
        <v>12</v>
      </c>
      <c r="ET3">
        <v>25</v>
      </c>
      <c r="EU3">
        <v>26</v>
      </c>
      <c r="EV3">
        <v>17.908189017724766</v>
      </c>
      <c r="EW3" s="1" t="e">
        <v>#N/A</v>
      </c>
      <c r="EX3" s="1" t="e">
        <v>#N/A</v>
      </c>
      <c r="EY3" s="1" t="e">
        <v>#N/A</v>
      </c>
      <c r="EZ3" s="1" t="e">
        <v>#N/A</v>
      </c>
      <c r="FA3" s="1" t="e">
        <v>#N/A</v>
      </c>
      <c r="FB3" s="1" t="e">
        <v>#N/A</v>
      </c>
      <c r="FC3" s="1" t="e">
        <v>#N/A</v>
      </c>
      <c r="FD3" s="1" t="e">
        <v>#N/A</v>
      </c>
      <c r="FE3" s="1" t="e">
        <v>#N/A</v>
      </c>
      <c r="FF3" s="1" t="e">
        <v>#N/A</v>
      </c>
      <c r="FG3" s="1" t="e">
        <v>#N/A</v>
      </c>
      <c r="FH3" s="1" t="e">
        <v>#N/A</v>
      </c>
      <c r="FI3" s="1" t="e">
        <v>#N/A</v>
      </c>
      <c r="FJ3" s="1"/>
      <c r="FK3" s="1"/>
      <c r="FL3" s="1">
        <v>3.6392334350949164E-2</v>
      </c>
      <c r="FM3" s="1">
        <v>1.2406477619641757E-2</v>
      </c>
      <c r="FN3" s="1">
        <v>1.5</v>
      </c>
      <c r="FO3" s="1">
        <v>0.25720877735351466</v>
      </c>
      <c r="FP3" s="1">
        <v>2.767256449507581E-3</v>
      </c>
      <c r="FQ3" s="1">
        <v>9.4338288051394777E-4</v>
      </c>
      <c r="FR3" s="1">
        <v>4.0887767476854443E-2</v>
      </c>
      <c r="FS3" s="1">
        <v>0</v>
      </c>
      <c r="FT3" s="1">
        <v>0</v>
      </c>
      <c r="FU3" s="1">
        <v>0</v>
      </c>
      <c r="FV3" s="1">
        <v>3</v>
      </c>
      <c r="FW3" s="1">
        <v>0</v>
      </c>
    </row>
    <row r="8" spans="1:179" x14ac:dyDescent="0.25">
      <c r="FK8">
        <f>AVERAGE(FP3,FT3)*O3</f>
        <v>3.6392334350949164E-2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3"/>
  <sheetViews>
    <sheetView tabSelected="1" workbookViewId="0">
      <selection activeCell="K23" sqref="K23"/>
    </sheetView>
  </sheetViews>
  <sheetFormatPr defaultRowHeight="15" x14ac:dyDescent="0.25"/>
  <cols>
    <col min="1" max="1" width="14.140625" bestFit="1" customWidth="1"/>
  </cols>
  <sheetData>
    <row r="1" spans="1:22" x14ac:dyDescent="0.25">
      <c r="A1" t="s">
        <v>161</v>
      </c>
      <c r="B1" t="s">
        <v>290</v>
      </c>
      <c r="C1" t="s">
        <v>290</v>
      </c>
      <c r="D1" t="s">
        <v>290</v>
      </c>
      <c r="E1" t="s">
        <v>290</v>
      </c>
      <c r="F1" t="s">
        <v>290</v>
      </c>
      <c r="G1" t="s">
        <v>290</v>
      </c>
      <c r="H1" t="s">
        <v>290</v>
      </c>
      <c r="I1" t="s">
        <v>290</v>
      </c>
      <c r="J1" t="s">
        <v>290</v>
      </c>
      <c r="K1" t="s">
        <v>290</v>
      </c>
      <c r="L1" t="s">
        <v>290</v>
      </c>
      <c r="M1" t="s">
        <v>290</v>
      </c>
      <c r="N1" t="s">
        <v>290</v>
      </c>
      <c r="O1">
        <v>0</v>
      </c>
      <c r="P1" t="s">
        <v>290</v>
      </c>
      <c r="Q1" t="s">
        <v>290</v>
      </c>
      <c r="R1" t="s">
        <v>290</v>
      </c>
      <c r="S1" t="s">
        <v>291</v>
      </c>
      <c r="T1" t="s">
        <v>290</v>
      </c>
      <c r="U1" t="s">
        <v>292</v>
      </c>
      <c r="V1" t="s">
        <v>290</v>
      </c>
    </row>
    <row r="2" spans="1:22" x14ac:dyDescent="0.25">
      <c r="A2" t="s">
        <v>0</v>
      </c>
      <c r="B2" t="s">
        <v>290</v>
      </c>
      <c r="C2" t="s">
        <v>290</v>
      </c>
      <c r="D2" t="s">
        <v>290</v>
      </c>
      <c r="E2" t="s">
        <v>290</v>
      </c>
      <c r="F2" t="s">
        <v>290</v>
      </c>
      <c r="G2" t="s">
        <v>290</v>
      </c>
      <c r="H2" t="s">
        <v>290</v>
      </c>
      <c r="I2" t="s">
        <v>290</v>
      </c>
      <c r="J2" t="s">
        <v>290</v>
      </c>
      <c r="K2" t="s">
        <v>290</v>
      </c>
      <c r="L2" t="s">
        <v>290</v>
      </c>
      <c r="M2" t="s">
        <v>290</v>
      </c>
      <c r="N2" t="s">
        <v>290</v>
      </c>
      <c r="O2">
        <v>0</v>
      </c>
      <c r="P2" t="s">
        <v>290</v>
      </c>
      <c r="Q2" t="s">
        <v>290</v>
      </c>
      <c r="R2" t="s">
        <v>290</v>
      </c>
      <c r="S2" t="s">
        <v>128</v>
      </c>
      <c r="T2" t="s">
        <v>290</v>
      </c>
      <c r="U2" t="s">
        <v>293</v>
      </c>
      <c r="V2" t="s">
        <v>290</v>
      </c>
    </row>
    <row r="3" spans="1:22" x14ac:dyDescent="0.25">
      <c r="A3" t="s">
        <v>288</v>
      </c>
      <c r="B3" t="s">
        <v>290</v>
      </c>
      <c r="C3" t="s">
        <v>290</v>
      </c>
      <c r="D3" t="s">
        <v>290</v>
      </c>
      <c r="E3" t="s">
        <v>290</v>
      </c>
      <c r="F3" t="s">
        <v>290</v>
      </c>
      <c r="G3" t="s">
        <v>290</v>
      </c>
      <c r="H3" t="s">
        <v>290</v>
      </c>
      <c r="I3" t="s">
        <v>290</v>
      </c>
      <c r="J3" t="s">
        <v>290</v>
      </c>
      <c r="K3" t="s">
        <v>290</v>
      </c>
      <c r="L3" t="s">
        <v>290</v>
      </c>
      <c r="M3" t="s">
        <v>290</v>
      </c>
      <c r="N3" t="s">
        <v>290</v>
      </c>
      <c r="O3">
        <v>0</v>
      </c>
      <c r="P3" t="s">
        <v>290</v>
      </c>
      <c r="Q3" t="s">
        <v>290</v>
      </c>
      <c r="R3" t="s">
        <v>290</v>
      </c>
      <c r="S3" t="s">
        <v>294</v>
      </c>
      <c r="T3" t="s">
        <v>290</v>
      </c>
      <c r="U3" t="s">
        <v>292</v>
      </c>
      <c r="V3" t="s">
        <v>290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Projection-H</vt:lpstr>
      <vt:lpstr>Projection-P</vt:lpstr>
      <vt:lpstr>Filtered-H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Easan</dc:creator>
  <cp:lastModifiedBy>Easan</cp:lastModifiedBy>
  <dcterms:created xsi:type="dcterms:W3CDTF">2017-07-26T21:08:23Z</dcterms:created>
  <dcterms:modified xsi:type="dcterms:W3CDTF">2017-07-31T22:02:18Z</dcterms:modified>
</cp:coreProperties>
</file>